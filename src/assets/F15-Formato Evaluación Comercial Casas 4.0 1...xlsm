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https://gpremiumcl-my.sharepoint.com/personal/recepcion_gpremium_cl/Documents/MALETIN DOCUMENTAL/"/>
    </mc:Choice>
  </mc:AlternateContent>
  <xr:revisionPtr revIDLastSave="319" documentId="13_ncr:1_{1A986CD3-549A-42BF-AF76-2030BEF97CFA}" xr6:coauthVersionLast="47" xr6:coauthVersionMax="47" xr10:uidLastSave="{8F58EBF0-4C6E-4929-A4C7-C450C30A1851}"/>
  <bookViews>
    <workbookView xWindow="-108" yWindow="-108" windowWidth="23256" windowHeight="12456" xr2:uid="{00000000-000D-0000-FFFF-FFFF00000000}"/>
  </bookViews>
  <sheets>
    <sheet name="Evaluacion Comercial GP" sheetId="1" r:id="rId1"/>
    <sheet name="Analisis Mercado" sheetId="2" r:id="rId2"/>
    <sheet name="Fotos propiedad" sheetId="6" state="hidden" r:id="rId3"/>
    <sheet name="CHORNIK" sheetId="4" r:id="rId4"/>
    <sheet name="Hoja1" sheetId="5" state="hidden" r:id="rId5"/>
  </sheets>
  <definedNames>
    <definedName name="_xlnm.Print_Area" localSheetId="1">'Analisis Mercado'!$A$1:$L$25</definedName>
    <definedName name="_xlnm.Print_Area" localSheetId="0">'Evaluacion Comercial GP'!$A$1:$I$34</definedName>
    <definedName name="LETRAS_1">CHORNIK!$A$3:$A$11</definedName>
    <definedName name="LETRAS_2">CHORNIK!$A$14:$A$22</definedName>
    <definedName name="MAT_AÑO">Hoja1!$C$3:$BT$11</definedName>
    <definedName name="mat_año_2">Hoja1!$C$2:$BT$2</definedName>
    <definedName name="MAT_CALI">CHORNIK!$B$14:$F$22</definedName>
    <definedName name="NUM_1">CHORNIK!$B$13:$F$13</definedName>
    <definedName name="valoruf.cl" localSheetId="3">CHORNIK!$V$7:$V$37</definedName>
    <definedName name="valoruf.cl" localSheetId="0">'Evaluacion Comercial GP'!#REF!</definedName>
    <definedName name="valoruf.cl_1" localSheetId="3">CHORNIK!$U$12:$U$39</definedName>
  </definedNames>
  <calcPr calcId="191028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1" i="1" l="1"/>
  <c r="K14" i="2"/>
  <c r="I14" i="2"/>
  <c r="J14" i="2"/>
  <c r="K13" i="2"/>
  <c r="I13" i="2"/>
  <c r="J13" i="2"/>
  <c r="C18" i="2"/>
  <c r="G14" i="1"/>
  <c r="H14" i="1"/>
  <c r="I14" i="1"/>
  <c r="F12" i="1"/>
  <c r="H12" i="1"/>
  <c r="I12" i="1"/>
  <c r="K12" i="2"/>
  <c r="I12" i="2"/>
  <c r="J12" i="2"/>
  <c r="I15" i="2"/>
  <c r="E18" i="2"/>
  <c r="D18" i="2"/>
  <c r="B11" i="4"/>
  <c r="B10" i="4"/>
  <c r="B9" i="4"/>
  <c r="B8" i="4"/>
  <c r="B7" i="4"/>
  <c r="B6" i="4"/>
  <c r="B5" i="4"/>
  <c r="B4" i="4"/>
  <c r="B3" i="4"/>
  <c r="BO11" i="5"/>
  <c r="BP11" i="5"/>
  <c r="BR11" i="5"/>
  <c r="BS11" i="5"/>
  <c r="BO10" i="5"/>
  <c r="BP10" i="5"/>
  <c r="BR10" i="5"/>
  <c r="BS10" i="5"/>
  <c r="BO9" i="5"/>
  <c r="BP9" i="5"/>
  <c r="BR9" i="5"/>
  <c r="BS9" i="5"/>
  <c r="BO8" i="5"/>
  <c r="BP8" i="5"/>
  <c r="BR8" i="5"/>
  <c r="BS8" i="5"/>
  <c r="BO7" i="5"/>
  <c r="BP7" i="5"/>
  <c r="BR7" i="5"/>
  <c r="BS7" i="5"/>
  <c r="BO6" i="5"/>
  <c r="BP6" i="5"/>
  <c r="BR6" i="5"/>
  <c r="BS6" i="5"/>
  <c r="BQ6" i="5"/>
  <c r="BO5" i="5"/>
  <c r="BO4" i="5"/>
  <c r="BP4" i="5"/>
  <c r="BR4" i="5"/>
  <c r="BS4" i="5"/>
  <c r="BQ4" i="5"/>
  <c r="BO3" i="5"/>
  <c r="BP3" i="5"/>
  <c r="BR3" i="5"/>
  <c r="BS3" i="5"/>
  <c r="BQ3" i="5"/>
  <c r="BK11" i="5"/>
  <c r="BK10" i="5"/>
  <c r="BM10" i="5"/>
  <c r="BN10" i="5"/>
  <c r="BK9" i="5"/>
  <c r="BK8" i="5"/>
  <c r="BM8" i="5"/>
  <c r="BK7" i="5"/>
  <c r="BM7" i="5"/>
  <c r="BK6" i="5"/>
  <c r="BK5" i="5"/>
  <c r="BM5" i="5"/>
  <c r="BN5" i="5"/>
  <c r="BK4" i="5"/>
  <c r="BM4" i="5"/>
  <c r="BN4" i="5"/>
  <c r="BL4" i="5"/>
  <c r="BK3" i="5"/>
  <c r="BM3" i="5"/>
  <c r="BN3" i="5"/>
  <c r="BL3" i="5"/>
  <c r="BE11" i="5"/>
  <c r="BF11" i="5"/>
  <c r="BE10" i="5"/>
  <c r="BF10" i="5"/>
  <c r="BH10" i="5"/>
  <c r="BE9" i="5"/>
  <c r="BF9" i="5"/>
  <c r="BH9" i="5"/>
  <c r="BI9" i="5"/>
  <c r="BG9" i="5"/>
  <c r="BE8" i="5"/>
  <c r="BF8" i="5"/>
  <c r="BH8" i="5"/>
  <c r="BI8" i="5"/>
  <c r="BE7" i="5"/>
  <c r="BF7" i="5"/>
  <c r="BH7" i="5"/>
  <c r="BI7" i="5"/>
  <c r="BE6" i="5"/>
  <c r="BF6" i="5"/>
  <c r="BH6" i="5"/>
  <c r="BG6" i="5"/>
  <c r="BI6" i="5"/>
  <c r="BE5" i="5"/>
  <c r="BF5" i="5"/>
  <c r="BH5" i="5"/>
  <c r="BI5" i="5"/>
  <c r="BE4" i="5"/>
  <c r="BF4" i="5"/>
  <c r="BH4" i="5"/>
  <c r="BI4" i="5"/>
  <c r="BE3" i="5"/>
  <c r="BF3" i="5"/>
  <c r="BH3" i="5"/>
  <c r="BI3" i="5"/>
  <c r="BG3" i="5"/>
  <c r="BA11" i="5"/>
  <c r="BA10" i="5"/>
  <c r="BC10" i="5"/>
  <c r="BD10" i="5"/>
  <c r="BA9" i="5"/>
  <c r="BA8" i="5"/>
  <c r="BC8" i="5"/>
  <c r="BA7" i="5"/>
  <c r="BC7" i="5"/>
  <c r="BA6" i="5"/>
  <c r="BA5" i="5"/>
  <c r="BA4" i="5"/>
  <c r="BC4" i="5"/>
  <c r="BD4" i="5"/>
  <c r="BB4" i="5"/>
  <c r="BA3" i="5"/>
  <c r="BC3" i="5"/>
  <c r="BD3" i="5"/>
  <c r="BB3" i="5"/>
  <c r="AU11" i="5"/>
  <c r="AV11" i="5"/>
  <c r="AU10" i="5"/>
  <c r="AV10" i="5"/>
  <c r="AU9" i="5"/>
  <c r="AV9" i="5"/>
  <c r="AX9" i="5"/>
  <c r="AY9" i="5"/>
  <c r="AW9" i="5"/>
  <c r="AU8" i="5"/>
  <c r="AV8" i="5"/>
  <c r="AU7" i="5"/>
  <c r="AV7" i="5"/>
  <c r="AX7" i="5"/>
  <c r="AU6" i="5"/>
  <c r="AV6" i="5"/>
  <c r="AX6" i="5"/>
  <c r="AY6" i="5"/>
  <c r="AW6" i="5"/>
  <c r="AU5" i="5"/>
  <c r="AV5" i="5"/>
  <c r="AX5" i="5"/>
  <c r="AY5" i="5"/>
  <c r="AU4" i="5"/>
  <c r="AV4" i="5"/>
  <c r="AU3" i="5"/>
  <c r="AV3" i="5"/>
  <c r="AX3" i="5"/>
  <c r="AY3" i="5"/>
  <c r="AW3" i="5"/>
  <c r="AQ11" i="5"/>
  <c r="AQ10" i="5"/>
  <c r="AQ9" i="5"/>
  <c r="AS9" i="5"/>
  <c r="AQ8" i="5"/>
  <c r="AQ7" i="5"/>
  <c r="AS7" i="5"/>
  <c r="AT7" i="5"/>
  <c r="AQ6" i="5"/>
  <c r="AS6" i="5"/>
  <c r="AQ5" i="5"/>
  <c r="AQ4" i="5"/>
  <c r="AS4" i="5"/>
  <c r="AT4" i="5"/>
  <c r="AR4" i="5"/>
  <c r="AQ3" i="5"/>
  <c r="AS3" i="5"/>
  <c r="AT3" i="5"/>
  <c r="AK11" i="5"/>
  <c r="AL11" i="5"/>
  <c r="AN11" i="5"/>
  <c r="AO11" i="5"/>
  <c r="AM11" i="5"/>
  <c r="AK10" i="5"/>
  <c r="AL10" i="5"/>
  <c r="AK9" i="5"/>
  <c r="AL9" i="5"/>
  <c r="AN9" i="5"/>
  <c r="AO9" i="5"/>
  <c r="AM9" i="5"/>
  <c r="AK8" i="5"/>
  <c r="AL8" i="5"/>
  <c r="AK7" i="5"/>
  <c r="AL7" i="5"/>
  <c r="AK6" i="5"/>
  <c r="AL6" i="5"/>
  <c r="AN6" i="5"/>
  <c r="AO6" i="5"/>
  <c r="AM6" i="5"/>
  <c r="AK5" i="5"/>
  <c r="AK4" i="5"/>
  <c r="AL4" i="5"/>
  <c r="AN4" i="5"/>
  <c r="AK3" i="5"/>
  <c r="AL3" i="5"/>
  <c r="AN3" i="5"/>
  <c r="AO3" i="5"/>
  <c r="AM3" i="5"/>
  <c r="AG11" i="5"/>
  <c r="AI11" i="5"/>
  <c r="AJ11" i="5"/>
  <c r="AG10" i="5"/>
  <c r="AG9" i="5"/>
  <c r="AG8" i="5"/>
  <c r="AI8" i="5"/>
  <c r="AJ8" i="5"/>
  <c r="AG7" i="5"/>
  <c r="AG6" i="5"/>
  <c r="AI6" i="5"/>
  <c r="AG5" i="5"/>
  <c r="AG4" i="5"/>
  <c r="AI4" i="5"/>
  <c r="AJ4" i="5"/>
  <c r="AH4" i="5"/>
  <c r="AG3" i="5"/>
  <c r="AI3" i="5"/>
  <c r="AJ3" i="5"/>
  <c r="AA11" i="5"/>
  <c r="AB11" i="5"/>
  <c r="AD11" i="5"/>
  <c r="AE11" i="5"/>
  <c r="AA10" i="5"/>
  <c r="AB10" i="5"/>
  <c r="AD10" i="5"/>
  <c r="AE10" i="5"/>
  <c r="AC10" i="5"/>
  <c r="AA9" i="5"/>
  <c r="AB9" i="5"/>
  <c r="AD9" i="5"/>
  <c r="AE9" i="5"/>
  <c r="AA8" i="5"/>
  <c r="AB8" i="5"/>
  <c r="AD8" i="5"/>
  <c r="AE8" i="5"/>
  <c r="AC8" i="5"/>
  <c r="AA7" i="5"/>
  <c r="AB7" i="5"/>
  <c r="AA6" i="5"/>
  <c r="AB6" i="5"/>
  <c r="AD6" i="5"/>
  <c r="AE6" i="5"/>
  <c r="AC6" i="5"/>
  <c r="AA5" i="5"/>
  <c r="AB5" i="5"/>
  <c r="AA4" i="5"/>
  <c r="AB4" i="5"/>
  <c r="AA3" i="5"/>
  <c r="AB3" i="5"/>
  <c r="AD3" i="5"/>
  <c r="AE3" i="5"/>
  <c r="AC3" i="5"/>
  <c r="W11" i="5"/>
  <c r="W10" i="5"/>
  <c r="Y10" i="5"/>
  <c r="Z10" i="5"/>
  <c r="W9" i="5"/>
  <c r="Y9" i="5"/>
  <c r="W8" i="5"/>
  <c r="Y8" i="5"/>
  <c r="W7" i="5"/>
  <c r="W6" i="5"/>
  <c r="W5" i="5"/>
  <c r="Y5" i="5"/>
  <c r="Z5" i="5"/>
  <c r="X5" i="5"/>
  <c r="W4" i="5"/>
  <c r="Y4" i="5"/>
  <c r="Z4" i="5"/>
  <c r="W3" i="5"/>
  <c r="Q11" i="5"/>
  <c r="R11" i="5"/>
  <c r="T11" i="5"/>
  <c r="U11" i="5"/>
  <c r="Q10" i="5"/>
  <c r="R10" i="5"/>
  <c r="T10" i="5"/>
  <c r="U10" i="5"/>
  <c r="S10" i="5"/>
  <c r="Q9" i="5"/>
  <c r="R9" i="5"/>
  <c r="T9" i="5"/>
  <c r="U9" i="5"/>
  <c r="Q8" i="5"/>
  <c r="R8" i="5"/>
  <c r="Q7" i="5"/>
  <c r="R7" i="5"/>
  <c r="T7" i="5"/>
  <c r="U7" i="5"/>
  <c r="S7" i="5"/>
  <c r="Q6" i="5"/>
  <c r="R6" i="5"/>
  <c r="T6" i="5"/>
  <c r="U6" i="5"/>
  <c r="Q5" i="5"/>
  <c r="R5" i="5"/>
  <c r="T5" i="5"/>
  <c r="S5" i="5"/>
  <c r="U5" i="5"/>
  <c r="Q4" i="5"/>
  <c r="R4" i="5"/>
  <c r="T4" i="5"/>
  <c r="U4" i="5"/>
  <c r="S4" i="5"/>
  <c r="Q3" i="5"/>
  <c r="R3" i="5"/>
  <c r="T3" i="5"/>
  <c r="U3" i="5"/>
  <c r="S3" i="5"/>
  <c r="M11" i="5"/>
  <c r="O11" i="5"/>
  <c r="P11" i="5"/>
  <c r="M10" i="5"/>
  <c r="M9" i="5"/>
  <c r="M8" i="5"/>
  <c r="O8" i="5"/>
  <c r="N8" i="5"/>
  <c r="P8" i="5"/>
  <c r="M7" i="5"/>
  <c r="M6" i="5"/>
  <c r="O6" i="5"/>
  <c r="P6" i="5"/>
  <c r="M5" i="5"/>
  <c r="O5" i="5"/>
  <c r="M4" i="5"/>
  <c r="O4" i="5"/>
  <c r="P4" i="5"/>
  <c r="N4" i="5"/>
  <c r="M3" i="5"/>
  <c r="O3" i="5"/>
  <c r="P3" i="5"/>
  <c r="G11" i="5"/>
  <c r="H11" i="5"/>
  <c r="J11" i="5"/>
  <c r="G10" i="5"/>
  <c r="H10" i="5"/>
  <c r="G9" i="5"/>
  <c r="H9" i="5"/>
  <c r="J9" i="5"/>
  <c r="K9" i="5"/>
  <c r="G8" i="5"/>
  <c r="H8" i="5"/>
  <c r="J8" i="5"/>
  <c r="K8" i="5"/>
  <c r="G7" i="5"/>
  <c r="H7" i="5"/>
  <c r="J7" i="5"/>
  <c r="K7" i="5"/>
  <c r="I7" i="5"/>
  <c r="G6" i="5"/>
  <c r="H6" i="5"/>
  <c r="G5" i="5"/>
  <c r="H5" i="5"/>
  <c r="J5" i="5"/>
  <c r="K5" i="5"/>
  <c r="G4" i="5"/>
  <c r="H4" i="5"/>
  <c r="J4" i="5"/>
  <c r="K4" i="5"/>
  <c r="I4" i="5"/>
  <c r="G3" i="5"/>
  <c r="H3" i="5"/>
  <c r="J3" i="5"/>
  <c r="K3" i="5"/>
  <c r="C4" i="5"/>
  <c r="E4" i="5"/>
  <c r="D4" i="5"/>
  <c r="F4" i="5"/>
  <c r="C5" i="5"/>
  <c r="E5" i="5"/>
  <c r="F5" i="5"/>
  <c r="C6" i="5"/>
  <c r="E6" i="5"/>
  <c r="C7" i="5"/>
  <c r="E7" i="5"/>
  <c r="C8" i="5"/>
  <c r="C9" i="5"/>
  <c r="E9" i="5"/>
  <c r="F9" i="5"/>
  <c r="C10" i="5"/>
  <c r="C11" i="5"/>
  <c r="E11" i="5"/>
  <c r="F11" i="5"/>
  <c r="D11" i="5"/>
  <c r="C3" i="5"/>
  <c r="E3" i="5"/>
  <c r="C4" i="4"/>
  <c r="C5" i="4"/>
  <c r="C6" i="4"/>
  <c r="C7" i="4"/>
  <c r="C8" i="4"/>
  <c r="C9" i="4"/>
  <c r="C10" i="4"/>
  <c r="C11" i="4"/>
  <c r="C3" i="4"/>
  <c r="D4" i="4"/>
  <c r="D5" i="4"/>
  <c r="D6" i="4"/>
  <c r="D7" i="4"/>
  <c r="D8" i="4"/>
  <c r="D9" i="4"/>
  <c r="D10" i="4"/>
  <c r="D11" i="4"/>
  <c r="D3" i="4"/>
  <c r="E4" i="4"/>
  <c r="E5" i="4"/>
  <c r="E6" i="4"/>
  <c r="E7" i="4"/>
  <c r="E8" i="4"/>
  <c r="E9" i="4"/>
  <c r="E10" i="4"/>
  <c r="E11" i="4"/>
  <c r="E3" i="4"/>
  <c r="F4" i="4"/>
  <c r="F5" i="4"/>
  <c r="F6" i="4"/>
  <c r="F7" i="4"/>
  <c r="F8" i="4"/>
  <c r="F9" i="4"/>
  <c r="F10" i="4"/>
  <c r="F11" i="4"/>
  <c r="F3" i="4"/>
  <c r="G4" i="4"/>
  <c r="G5" i="4"/>
  <c r="G6" i="4"/>
  <c r="G7" i="4"/>
  <c r="G8" i="4"/>
  <c r="G9" i="4"/>
  <c r="G10" i="4"/>
  <c r="G11" i="4"/>
  <c r="G3" i="4"/>
  <c r="H4" i="4"/>
  <c r="H5" i="4"/>
  <c r="H6" i="4"/>
  <c r="H7" i="4"/>
  <c r="H8" i="4"/>
  <c r="H9" i="4"/>
  <c r="H10" i="4"/>
  <c r="H11" i="4"/>
  <c r="H3" i="4"/>
  <c r="I4" i="4"/>
  <c r="I5" i="4"/>
  <c r="I6" i="4"/>
  <c r="I7" i="4"/>
  <c r="I8" i="4"/>
  <c r="I9" i="4"/>
  <c r="I10" i="4"/>
  <c r="I11" i="4"/>
  <c r="I3" i="4"/>
  <c r="B22" i="2"/>
  <c r="F13" i="1"/>
  <c r="H13" i="1"/>
  <c r="I13" i="1"/>
  <c r="B24" i="2"/>
  <c r="B23" i="2"/>
  <c r="BN7" i="5"/>
  <c r="BL7" i="5"/>
  <c r="AX4" i="5"/>
  <c r="AY4" i="5"/>
  <c r="T8" i="5"/>
  <c r="U8" i="5"/>
  <c r="Z8" i="5"/>
  <c r="X8" i="5"/>
  <c r="F7" i="5"/>
  <c r="D7" i="5"/>
  <c r="P5" i="5"/>
  <c r="N5" i="5"/>
  <c r="BD7" i="5"/>
  <c r="BB7" i="5"/>
  <c r="AD7" i="5"/>
  <c r="AE7" i="5"/>
  <c r="J10" i="5"/>
  <c r="K10" i="5"/>
  <c r="AN10" i="5"/>
  <c r="AO10" i="5"/>
  <c r="BM9" i="5"/>
  <c r="BN9" i="5"/>
  <c r="S9" i="5"/>
  <c r="O9" i="5"/>
  <c r="N9" i="5"/>
  <c r="BL9" i="5"/>
  <c r="AC11" i="5"/>
  <c r="BQ10" i="5"/>
  <c r="X10" i="5"/>
  <c r="BC5" i="5"/>
  <c r="BD5" i="5"/>
  <c r="AR7" i="5"/>
  <c r="I3" i="5"/>
  <c r="AH3" i="5"/>
  <c r="AI10" i="5"/>
  <c r="E10" i="5"/>
  <c r="BG7" i="5"/>
  <c r="S6" i="5"/>
  <c r="Y7" i="5"/>
  <c r="Z7" i="5"/>
  <c r="AS11" i="5"/>
  <c r="AT11" i="5"/>
  <c r="BM11" i="5"/>
  <c r="AH11" i="5"/>
  <c r="AR11" i="5"/>
  <c r="I8" i="5"/>
  <c r="O10" i="5"/>
  <c r="P10" i="5"/>
  <c r="AC9" i="5"/>
  <c r="AR3" i="5"/>
  <c r="BQ7" i="5"/>
  <c r="E8" i="5"/>
  <c r="BL5" i="5"/>
  <c r="S11" i="5"/>
  <c r="BC6" i="5"/>
  <c r="BD6" i="5"/>
  <c r="BG4" i="5"/>
  <c r="BM6" i="5"/>
  <c r="BN6" i="5"/>
  <c r="Y6" i="5"/>
  <c r="Z6" i="5"/>
  <c r="AI7" i="5"/>
  <c r="AJ7" i="5"/>
  <c r="AI9" i="5"/>
  <c r="AJ9" i="5"/>
  <c r="BQ8" i="5"/>
  <c r="Y3" i="5"/>
  <c r="Z3" i="5"/>
  <c r="AH7" i="5"/>
  <c r="I5" i="5"/>
  <c r="O7" i="5"/>
  <c r="P7" i="5"/>
  <c r="X4" i="5"/>
  <c r="AH8" i="5"/>
  <c r="AS5" i="5"/>
  <c r="BG5" i="5"/>
  <c r="BC9" i="5"/>
  <c r="BB9" i="5"/>
  <c r="BD9" i="5"/>
  <c r="BQ9" i="5"/>
  <c r="J6" i="5"/>
  <c r="K6" i="5"/>
  <c r="Y11" i="5"/>
  <c r="Z11" i="5"/>
  <c r="AI5" i="5"/>
  <c r="AH5" i="5"/>
  <c r="BP5" i="5"/>
  <c r="AD5" i="5"/>
  <c r="AE5" i="5"/>
  <c r="AR6" i="5"/>
  <c r="AT6" i="5"/>
  <c r="BN11" i="5"/>
  <c r="BL11" i="5"/>
  <c r="AY7" i="5"/>
  <c r="AW7" i="5"/>
  <c r="BD8" i="5"/>
  <c r="BB8" i="5"/>
  <c r="AN7" i="5"/>
  <c r="AO7" i="5"/>
  <c r="Z9" i="5"/>
  <c r="X9" i="5"/>
  <c r="AX8" i="5"/>
  <c r="AY8" i="5"/>
  <c r="AW8" i="5"/>
  <c r="AN8" i="5"/>
  <c r="AO8" i="5"/>
  <c r="AH9" i="5"/>
  <c r="BL8" i="5"/>
  <c r="BN8" i="5"/>
  <c r="AT5" i="5"/>
  <c r="AR5" i="5"/>
  <c r="BI10" i="5"/>
  <c r="BG10" i="5"/>
  <c r="AO4" i="5"/>
  <c r="AM4" i="5"/>
  <c r="AX10" i="5"/>
  <c r="AY10" i="5"/>
  <c r="D3" i="5"/>
  <c r="F3" i="5"/>
  <c r="AX11" i="5"/>
  <c r="AY11" i="5"/>
  <c r="BH11" i="5"/>
  <c r="BI11" i="5"/>
  <c r="BG11" i="5"/>
  <c r="D6" i="5"/>
  <c r="F6" i="5"/>
  <c r="N10" i="5"/>
  <c r="AT9" i="5"/>
  <c r="AR9" i="5"/>
  <c r="AD4" i="5"/>
  <c r="AE4" i="5"/>
  <c r="AC4" i="5"/>
  <c r="F8" i="5"/>
  <c r="D8" i="5"/>
  <c r="N6" i="5"/>
  <c r="K11" i="5"/>
  <c r="I11" i="5"/>
  <c r="AJ6" i="5"/>
  <c r="AH6" i="5"/>
  <c r="BC11" i="5"/>
  <c r="AS8" i="5"/>
  <c r="N3" i="5"/>
  <c r="N11" i="5"/>
  <c r="BB6" i="5"/>
  <c r="BB10" i="5"/>
  <c r="I9" i="5"/>
  <c r="X7" i="5"/>
  <c r="X11" i="5"/>
  <c r="AS10" i="5"/>
  <c r="AW5" i="5"/>
  <c r="BG8" i="5"/>
  <c r="BL6" i="5"/>
  <c r="BL10" i="5"/>
  <c r="BQ11" i="5"/>
  <c r="AL5" i="5"/>
  <c r="D9" i="5"/>
  <c r="D5" i="5"/>
  <c r="AC7" i="5"/>
  <c r="I6" i="5"/>
  <c r="X3" i="5"/>
  <c r="AJ5" i="5"/>
  <c r="S8" i="5"/>
  <c r="X6" i="5"/>
  <c r="BR5" i="5"/>
  <c r="BS5" i="5"/>
  <c r="D10" i="5"/>
  <c r="F10" i="5"/>
  <c r="AM10" i="5"/>
  <c r="AW4" i="5"/>
  <c r="N7" i="5"/>
  <c r="P9" i="5"/>
  <c r="BB5" i="5"/>
  <c r="AJ10" i="5"/>
  <c r="AH10" i="5"/>
  <c r="I10" i="5"/>
  <c r="AN5" i="5"/>
  <c r="AO5" i="5"/>
  <c r="BD11" i="5"/>
  <c r="BB11" i="5"/>
  <c r="AR8" i="5"/>
  <c r="AT8" i="5"/>
  <c r="AM7" i="5"/>
  <c r="AR10" i="5"/>
  <c r="AT10" i="5"/>
  <c r="AW11" i="5"/>
  <c r="AW10" i="5"/>
  <c r="AM8" i="5"/>
  <c r="AC5" i="5"/>
  <c r="BQ5" i="5"/>
  <c r="AM5" i="5"/>
  <c r="K11" i="2"/>
  <c r="F15" i="1"/>
  <c r="K18" i="2"/>
  <c r="L23" i="2"/>
  <c r="H11" i="1"/>
  <c r="I11" i="1"/>
  <c r="H10" i="1"/>
  <c r="I11" i="2"/>
  <c r="J11" i="2"/>
  <c r="J18" i="2"/>
  <c r="G12" i="1"/>
  <c r="G15" i="1"/>
  <c r="G16" i="1"/>
  <c r="G24" i="1"/>
  <c r="L22" i="2"/>
  <c r="I15" i="1"/>
  <c r="I16" i="1"/>
  <c r="I23" i="1"/>
  <c r="I19" i="1"/>
  <c r="I22" i="1"/>
  <c r="I21" i="1"/>
  <c r="I20" i="1"/>
  <c r="I24" i="1"/>
  <c r="G21" i="1"/>
  <c r="G23" i="1"/>
  <c r="G19" i="1"/>
  <c r="G20" i="1"/>
  <c r="G2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6" refreshOnLoad="1" saveData="1">
    <webPr sourceData="1" parsePre="1" consecutive="1" xl2000="1" url="https://valoruf.cl"/>
  </connection>
  <connection id="2" xr16:uid="{00000000-0015-0000-FFFF-FFFF01000000}" name="Conexión1" type="4" refreshedVersion="6" background="1" saveData="1">
    <webPr sourceData="1" parsePre="1" consecutive="1" xl2000="1" url="https://valoruf.cl"/>
  </connection>
</connections>
</file>

<file path=xl/sharedStrings.xml><?xml version="1.0" encoding="utf-8"?>
<sst xmlns="http://schemas.openxmlformats.org/spreadsheetml/2006/main" count="173" uniqueCount="131">
  <si>
    <t>EVALUACIÓN COMERCIAL</t>
  </si>
  <si>
    <t>Propietario(a):</t>
  </si>
  <si>
    <t>Fecha dd/mm/aaaa:</t>
  </si>
  <si>
    <t>Antigüedad Real:</t>
  </si>
  <si>
    <t>Dirección:</t>
  </si>
  <si>
    <t>Antigüedad Aparente:</t>
  </si>
  <si>
    <t>Comuna:</t>
  </si>
  <si>
    <t>Osorno</t>
  </si>
  <si>
    <t>ROL SII:</t>
  </si>
  <si>
    <t>271-353</t>
  </si>
  <si>
    <t>Agente Inmobiliario / Visador:</t>
  </si>
  <si>
    <t>Antonio Cardenas</t>
  </si>
  <si>
    <t>Clase</t>
  </si>
  <si>
    <t>Calidad</t>
  </si>
  <si>
    <t>Edad</t>
  </si>
  <si>
    <t>m2 /cant</t>
  </si>
  <si>
    <t>Máximo</t>
  </si>
  <si>
    <t xml:space="preserve"> Total UF</t>
  </si>
  <si>
    <t>Mínimo</t>
  </si>
  <si>
    <t>Total UF</t>
  </si>
  <si>
    <t>Terreno</t>
  </si>
  <si>
    <t>n/a</t>
  </si>
  <si>
    <t>192,30</t>
  </si>
  <si>
    <t xml:space="preserve">Construcción Original </t>
  </si>
  <si>
    <t>C</t>
  </si>
  <si>
    <t>Obras complem (pisicina, terrazas,etc)</t>
  </si>
  <si>
    <t>TOTAL UF</t>
  </si>
  <si>
    <t xml:space="preserve">Valor UF </t>
  </si>
  <si>
    <t xml:space="preserve">Valor Arriendo </t>
  </si>
  <si>
    <t>Rentabilidad Anual</t>
  </si>
  <si>
    <t>Canon Máximo</t>
  </si>
  <si>
    <t>Canon Mínimo</t>
  </si>
  <si>
    <t>Estimado</t>
  </si>
  <si>
    <t>Comentarios y 
consideraciones</t>
  </si>
  <si>
    <t xml:space="preserve">Para el análisis, se consideran los metrajes originales de las construcciones, metraje oficial validado en  Municipalidad y el  servicio de impuestos internos.   </t>
  </si>
  <si>
    <t>Recomendación comercial</t>
  </si>
  <si>
    <t>Se recomienda promover venta en un rango de 4.804 UF y 4.564 UF en primera instancia,. Un valor más alto, deja fuera de mercado la propiedad dificultando su venta. propiedades usadas.</t>
  </si>
  <si>
    <t>Valor publicación</t>
  </si>
  <si>
    <t>Ofertas hasta</t>
  </si>
  <si>
    <t xml:space="preserve">                          Señores, el precio por nuestra propiedad es de </t>
  </si>
  <si>
    <t xml:space="preserve">Nota importante: La presente información es una opinión comercial para promocionar una eventual venta y no </t>
  </si>
  <si>
    <t xml:space="preserve">                              representa una tasación formal para uso bancario. El análisis tiene un margen de error de +-5%</t>
  </si>
  <si>
    <t>ANÁLISIS DE MERCADO Y MUESTREO</t>
  </si>
  <si>
    <t xml:space="preserve">Cuadrante/Sector :  </t>
  </si>
  <si>
    <t>Análisis de Oferta nueva, usada, últimas vendidas y tasaciones. Al menos 6 muestras usadas publicadas competencia real.</t>
  </si>
  <si>
    <t>Superficies</t>
  </si>
  <si>
    <t>Referencia</t>
  </si>
  <si>
    <t>Cod Portal</t>
  </si>
  <si>
    <t>Valor         Venta UF</t>
  </si>
  <si>
    <t>m2    construído</t>
  </si>
  <si>
    <t>m2        terreno</t>
  </si>
  <si>
    <t>Edad Apar.</t>
  </si>
  <si>
    <t>UF      Const.</t>
  </si>
  <si>
    <t>Terreno      UF</t>
  </si>
  <si>
    <t>Valor Const      UF/m2</t>
  </si>
  <si>
    <t>Ubicación/Dirección/Referencia</t>
  </si>
  <si>
    <t>Ref. 04</t>
  </si>
  <si>
    <t>chacabuco, osorno</t>
  </si>
  <si>
    <t>Ref. 05</t>
  </si>
  <si>
    <t>francisco bilbao, osorno</t>
  </si>
  <si>
    <t>Ref. 08</t>
  </si>
  <si>
    <t>oriente, osorno</t>
  </si>
  <si>
    <t>Ref. 09</t>
  </si>
  <si>
    <t>juan mackenna, osorno</t>
  </si>
  <si>
    <t>Ref. 10</t>
  </si>
  <si>
    <t>PROMEDIOS</t>
  </si>
  <si>
    <t>Fecha:</t>
  </si>
  <si>
    <t xml:space="preserve">VALOR UF PROMEDIO m2 Terreno </t>
  </si>
  <si>
    <t>Agente:</t>
  </si>
  <si>
    <t>VALOR UF PROMEDIO m2 Construído Depreciado</t>
  </si>
  <si>
    <t>Valor UF:</t>
  </si>
  <si>
    <t>Referencias distintos portales inmobiliarios y letreros en terreno</t>
  </si>
  <si>
    <t>ANEXO FOTOGRÁFICO Y ANTECEDENTES</t>
  </si>
  <si>
    <t>Mapa</t>
  </si>
  <si>
    <t>Certificado de avaluo</t>
  </si>
  <si>
    <t>Foto de la fachada</t>
  </si>
  <si>
    <t>Ant municipales</t>
  </si>
  <si>
    <t>Entre otros</t>
  </si>
  <si>
    <t xml:space="preserve">Mapa cant de propiedades en venta </t>
  </si>
  <si>
    <t xml:space="preserve">CUADRO DE DEPRECIACIÓN DE “CHORNIK” </t>
  </si>
  <si>
    <t>CLASE/EDAD</t>
  </si>
  <si>
    <t>Valor UF $27.556,90</t>
  </si>
  <si>
    <t>A</t>
  </si>
  <si>
    <t>B</t>
  </si>
  <si>
    <t>D</t>
  </si>
  <si>
    <t>E</t>
  </si>
  <si>
    <t>Valor UF $27.639,18</t>
  </si>
  <si>
    <t>F</t>
  </si>
  <si>
    <t>Actualizado al Jueves 25 de Abril de 2019</t>
  </si>
  <si>
    <t>G</t>
  </si>
  <si>
    <t>&lt;&lt; UF Ayer Valor UF Abril 2019 UF Mañana &gt;&gt;</t>
  </si>
  <si>
    <t>H</t>
  </si>
  <si>
    <t>Tabla año 2019 Valores Históricos</t>
  </si>
  <si>
    <t>I</t>
  </si>
  <si>
    <t>Modo navegación</t>
  </si>
  <si>
    <t>CALIFICACIÓN</t>
  </si>
  <si>
    <t>Valor UF Hoy</t>
  </si>
  <si>
    <t>Valor UF por año</t>
  </si>
  <si>
    <t>¿Qué es la UF?</t>
  </si>
  <si>
    <t>Valor del dólar ahora</t>
  </si>
  <si>
    <t>Calculadora, Convertir Unidad de Fomento a Pesos</t>
  </si>
  <si>
    <t>Al 25 de Abril de 2019</t>
  </si>
  <si>
    <t>UF</t>
  </si>
  <si>
    <t>Unidades de Fomento (UF)</t>
  </si>
  <si>
    <t>Pesos (CLP)</t>
  </si>
  <si>
    <t>CLASE</t>
  </si>
  <si>
    <t>CALIDAD DE CONSTRUCCION</t>
  </si>
  <si>
    <t>Convertir Pesos a Unidad de Fomento</t>
  </si>
  <si>
    <t xml:space="preserve"> Construcción con estructura soporte de acero </t>
  </si>
  <si>
    <t xml:space="preserve"> Estructura soportante de Hormigón Armado </t>
  </si>
  <si>
    <t>Pesos</t>
  </si>
  <si>
    <t xml:space="preserve"> Pilares y cadenas de hormigón armado con muros de albañilería de ladrillos </t>
  </si>
  <si>
    <t>Unidades de Fomento ( UF )</t>
  </si>
  <si>
    <t xml:space="preserve"> Construcción de albañilería de ladrillos y/o piedras </t>
  </si>
  <si>
    <t xml:space="preserve"> Estructura de madera</t>
  </si>
  <si>
    <t xml:space="preserve"> Estructura de adobe y madera </t>
  </si>
  <si>
    <t xml:space="preserve">Buscar UF por Fecha:  </t>
  </si>
  <si>
    <t xml:space="preserve"> Construcciones prefabricadas con estructura metálica, paneles de madera prefabricados de hormigón, yeso cartón o similares</t>
  </si>
  <si>
    <t xml:space="preserve"> Construcción prefabricada en madera, paneles de madera, yeso cartón, fibrocemento o similares</t>
  </si>
  <si>
    <t xml:space="preserve"> Construcciones de placas o paneles prefabricados.  Paneles de hormigón liviano. Fibrocemento o paneles de propileno entre mallas de acero para recibir mortero proyectado</t>
  </si>
  <si>
    <t>La UF o Unidad de Fomento, es una unidad financiera cuyo valor se reajusta díariamente según una fórmula basada en el IPC.</t>
  </si>
  <si>
    <t xml:space="preserve">     CALIDAD</t>
  </si>
  <si>
    <t>Valor UF Hoy | Valor del dólar</t>
  </si>
  <si>
    <t>Superior o Lujo</t>
  </si>
  <si>
    <t>Buena o Media-Superior</t>
  </si>
  <si>
    <t>Corriente o Media (la más usual)</t>
  </si>
  <si>
    <t xml:space="preserve"> Regular o Media-Inferior</t>
  </si>
  <si>
    <t>Inferior</t>
  </si>
  <si>
    <t>CLASE/AÑOS</t>
  </si>
  <si>
    <t>INVERSIONES ALDEBARÁN</t>
  </si>
  <si>
    <t>LOTE 48 REÑACA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</si>
</sst>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6" formatCode="&quot;$&quot;#,##0;[Red]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_-* #,##0.00_-;\-* #,##0.00_-;_-* &quot;-&quot;??_-;_-@_-"/>
    <numFmt numFmtId="165" formatCode="&quot;$&quot;\ #,##0;[Red]\-&quot;$&quot;\ #,##0"/>
    <numFmt numFmtId="166" formatCode="#,##0.00;[Red]#,##0.00"/>
    <numFmt numFmtId="167" formatCode="_-* #,##0_-;\-* #,##0_-;_-* &quot;-&quot;??_-;_-@"/>
    <numFmt numFmtId="168" formatCode="0;[Red]0"/>
    <numFmt numFmtId="169" formatCode="#,##0_ ;\-#,##0\ "/>
    <numFmt numFmtId="170" formatCode="\U\F\ #,##0.00"/>
    <numFmt numFmtId="171" formatCode="\U\F\ #,##0"/>
    <numFmt numFmtId="172" formatCode="_-[$$-340A]\ * #,##0.00_-;\-[$$-340A]\ * #,##0.00_-;_-[$$-340A]\ * &quot;-&quot;??_-;_-@"/>
    <numFmt numFmtId="173" formatCode="_-* #,##0.00_-;\-* #,##0.00_-;_-* &quot;-&quot;??_-;_-@"/>
    <numFmt numFmtId="174" formatCode="[$$-340A]\ #,##0"/>
    <numFmt numFmtId="175" formatCode="_-[$$-340A]\ * #,##0_-;\-[$$-340A]\ * #,##0_-;_-[$$-340A]\ * &quot;-&quot;_-;_-@"/>
    <numFmt numFmtId="176" formatCode="#,##0.00_ ;\-#,##0.00\ "/>
    <numFmt numFmtId="177" formatCode="_ * #,##0.0_ ;_ * \-#,##0.0_ ;_ * &quot;-&quot;_ ;_ @_ "/>
    <numFmt numFmtId="178" formatCode="_-* #,##0_-;\-* #,##0_-;_-* &quot;-&quot;??_-;_-@_-"/>
  </numFmts>
  <fonts count="60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1F497D"/>
      <name val="Arial"/>
      <family val="2"/>
    </font>
    <font>
      <sz val="11"/>
      <name val="Calibri"/>
      <family val="2"/>
    </font>
    <font>
      <sz val="9"/>
      <color rgb="FF003366"/>
      <name val="Arial"/>
      <family val="2"/>
    </font>
    <font>
      <sz val="11"/>
      <color rgb="FF1F497D"/>
      <name val="Calibri"/>
      <family val="2"/>
    </font>
    <font>
      <sz val="12"/>
      <color rgb="FF003366"/>
      <name val="Arial"/>
      <family val="2"/>
    </font>
    <font>
      <b/>
      <sz val="10"/>
      <color rgb="FF0066CC"/>
      <name val="Calibri"/>
      <family val="2"/>
    </font>
    <font>
      <sz val="10"/>
      <color rgb="FF000000"/>
      <name val="Calibri"/>
      <family val="2"/>
    </font>
    <font>
      <b/>
      <sz val="10"/>
      <name val="Calibri"/>
      <family val="2"/>
    </font>
    <font>
      <b/>
      <sz val="9"/>
      <name val="Arial"/>
      <family val="2"/>
    </font>
    <font>
      <b/>
      <i/>
      <sz val="9"/>
      <color rgb="FF1F497D"/>
      <name val="Arial"/>
      <family val="2"/>
    </font>
    <font>
      <b/>
      <sz val="9"/>
      <color rgb="FFFFFFFF"/>
      <name val="Arial"/>
      <family val="2"/>
    </font>
    <font>
      <sz val="9"/>
      <color rgb="FFFFFFFF"/>
      <name val="Arial"/>
      <family val="2"/>
    </font>
    <font>
      <b/>
      <sz val="9"/>
      <color rgb="FF1F497D"/>
      <name val="Arial"/>
      <family val="2"/>
    </font>
    <font>
      <b/>
      <sz val="9"/>
      <color rgb="FF003366"/>
      <name val="Arial"/>
      <family val="2"/>
    </font>
    <font>
      <b/>
      <sz val="9"/>
      <color rgb="FFDD0806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sz val="8"/>
      <name val="Calibri"/>
      <family val="2"/>
    </font>
    <font>
      <u/>
      <sz val="11"/>
      <color theme="11"/>
      <name val="Calibri"/>
      <family val="2"/>
    </font>
    <font>
      <b/>
      <sz val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.5"/>
      <name val="Arial"/>
      <family val="2"/>
    </font>
    <font>
      <sz val="10"/>
      <color rgb="FF1F497D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D4"/>
      <name val="Arial"/>
      <family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b/>
      <sz val="8"/>
      <color rgb="FF003366"/>
      <name val="Arial"/>
      <family val="2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6"/>
      <color theme="0"/>
      <name val="Arial"/>
      <family val="2"/>
    </font>
    <font>
      <sz val="11"/>
      <color theme="0"/>
      <name val="Arial"/>
      <family val="2"/>
    </font>
    <font>
      <sz val="9"/>
      <color rgb="FF0F182E"/>
      <name val="Arial"/>
      <family val="2"/>
    </font>
    <font>
      <b/>
      <sz val="9"/>
      <color rgb="FF0F182E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sz val="11"/>
      <color theme="3"/>
      <name val="Arial"/>
      <family val="2"/>
    </font>
    <font>
      <b/>
      <sz val="10"/>
      <color theme="3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9"/>
      <color rgb="FF0F192C"/>
      <name val="Arial"/>
      <family val="2"/>
    </font>
    <font>
      <b/>
      <sz val="11"/>
      <color rgb="FF0F192C"/>
      <name val="Arial"/>
      <family val="2"/>
    </font>
    <font>
      <sz val="9"/>
      <color rgb="FF0F192C"/>
      <name val="Arial"/>
      <family val="2"/>
    </font>
    <font>
      <sz val="9"/>
      <color theme="0"/>
      <name val="Calibri"/>
      <family val="2"/>
    </font>
    <font>
      <sz val="9"/>
      <color rgb="FF000000"/>
      <name val="Calibri"/>
      <family val="2"/>
    </font>
    <font>
      <b/>
      <sz val="9"/>
      <color theme="0"/>
      <name val="Calibri"/>
      <family val="2"/>
    </font>
    <font>
      <b/>
      <sz val="9"/>
      <color rgb="FF000000"/>
      <name val="Calibri"/>
      <family val="2"/>
    </font>
    <font>
      <b/>
      <sz val="14"/>
      <color rgb="FF0F182E"/>
      <name val="Arial"/>
      <family val="2"/>
    </font>
    <font>
      <sz val="14"/>
      <color rgb="FF0F182E"/>
      <name val="Calibri"/>
      <family val="2"/>
    </font>
    <font>
      <u/>
      <sz val="11"/>
      <color theme="1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rgb="FF0F192C"/>
        <bgColor rgb="FF0066CC"/>
      </patternFill>
    </fill>
    <fill>
      <patternFill patternType="solid">
        <fgColor rgb="FF0F182E"/>
        <bgColor rgb="FF0066CC"/>
      </patternFill>
    </fill>
    <fill>
      <patternFill patternType="solid">
        <fgColor rgb="FFFFC657"/>
        <bgColor rgb="FFFFFF00"/>
      </patternFill>
    </fill>
    <fill>
      <patternFill patternType="solid">
        <fgColor rgb="FFFFC657"/>
        <bgColor indexed="64"/>
      </patternFill>
    </fill>
    <fill>
      <patternFill patternType="solid">
        <fgColor rgb="FF0F182E"/>
        <bgColor rgb="FFFFFF00"/>
      </patternFill>
    </fill>
    <fill>
      <patternFill patternType="solid">
        <fgColor rgb="FF0F182E"/>
        <bgColor indexed="64"/>
      </patternFill>
    </fill>
    <fill>
      <patternFill patternType="solid">
        <fgColor rgb="FFFFC657"/>
        <bgColor rgb="FF0066CC"/>
      </patternFill>
    </fill>
    <fill>
      <patternFill patternType="solid">
        <fgColor rgb="FFFFC657"/>
        <bgColor rgb="FFFFFFFF"/>
      </patternFill>
    </fill>
  </fills>
  <borders count="46">
    <border>
      <left/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medium">
        <color auto="1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medium">
        <color auto="1"/>
      </right>
      <top style="medium">
        <color auto="1"/>
      </top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rgb="FF000000"/>
      </right>
      <top style="medium">
        <color auto="1"/>
      </top>
      <bottom style="thin">
        <color rgb="FF00000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5">
    <xf numFmtId="0" fontId="0" fillId="0" borderId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4" fillId="0" borderId="5"/>
    <xf numFmtId="9" fontId="24" fillId="0" borderId="5" applyFont="0" applyFill="0" applyBorder="0" applyAlignment="0" applyProtection="0"/>
    <xf numFmtId="41" fontId="24" fillId="0" borderId="5" applyFont="0" applyFill="0" applyBorder="0" applyAlignment="0" applyProtection="0"/>
    <xf numFmtId="42" fontId="3" fillId="0" borderId="5" applyFon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36" fillId="0" borderId="5" applyNumberFormat="0" applyFill="0" applyBorder="0" applyAlignment="0" applyProtection="0"/>
    <xf numFmtId="41" fontId="24" fillId="0" borderId="5" applyFont="0" applyFill="0" applyBorder="0" applyAlignment="0" applyProtection="0"/>
    <xf numFmtId="42" fontId="2" fillId="0" borderId="5" applyFont="0" applyFill="0" applyBorder="0" applyAlignment="0" applyProtection="0"/>
    <xf numFmtId="41" fontId="24" fillId="0" borderId="5" applyFont="0" applyFill="0" applyBorder="0" applyAlignment="0" applyProtection="0"/>
    <xf numFmtId="41" fontId="24" fillId="0" borderId="5" applyFont="0" applyFill="0" applyBorder="0" applyAlignment="0" applyProtection="0"/>
    <xf numFmtId="42" fontId="1" fillId="0" borderId="5" applyFont="0" applyFill="0" applyBorder="0" applyAlignment="0" applyProtection="0"/>
    <xf numFmtId="41" fontId="24" fillId="0" borderId="5" applyFont="0" applyFill="0" applyBorder="0" applyAlignment="0" applyProtection="0"/>
    <xf numFmtId="42" fontId="1" fillId="0" borderId="5" applyFont="0" applyFill="0" applyBorder="0" applyAlignment="0" applyProtection="0"/>
    <xf numFmtId="41" fontId="24" fillId="0" borderId="5" applyFon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164" fontId="39" fillId="0" borderId="0" applyFont="0" applyFill="0" applyBorder="0" applyAlignment="0" applyProtection="0"/>
    <xf numFmtId="0" fontId="59" fillId="0" borderId="0" applyNumberFormat="0" applyFill="0" applyBorder="0" applyAlignment="0" applyProtection="0"/>
    <xf numFmtId="0" fontId="36" fillId="0" borderId="0" applyNumberFormat="0" applyFill="0" applyBorder="0" applyAlignment="0" applyProtection="0"/>
  </cellStyleXfs>
  <cellXfs count="228">
    <xf numFmtId="0" fontId="0" fillId="0" borderId="0" xfId="0"/>
    <xf numFmtId="0" fontId="7" fillId="5" borderId="5" xfId="0" applyFont="1" applyFill="1" applyBorder="1"/>
    <xf numFmtId="0" fontId="0" fillId="4" borderId="5" xfId="0" applyFill="1" applyBorder="1"/>
    <xf numFmtId="0" fontId="8" fillId="6" borderId="5" xfId="0" applyFont="1" applyFill="1" applyBorder="1"/>
    <xf numFmtId="0" fontId="0" fillId="5" borderId="5" xfId="0" applyFill="1" applyBorder="1"/>
    <xf numFmtId="0" fontId="9" fillId="4" borderId="5" xfId="0" applyFont="1" applyFill="1" applyBorder="1"/>
    <xf numFmtId="0" fontId="10" fillId="4" borderId="5" xfId="0" applyFont="1" applyFill="1" applyBorder="1"/>
    <xf numFmtId="0" fontId="11" fillId="4" borderId="5" xfId="0" applyFont="1" applyFill="1" applyBorder="1"/>
    <xf numFmtId="0" fontId="23" fillId="4" borderId="5" xfId="0" applyFont="1" applyFill="1" applyBorder="1"/>
    <xf numFmtId="0" fontId="17" fillId="2" borderId="5" xfId="0" applyFont="1" applyFill="1" applyBorder="1"/>
    <xf numFmtId="0" fontId="6" fillId="2" borderId="5" xfId="0" applyFont="1" applyFill="1" applyBorder="1"/>
    <xf numFmtId="0" fontId="16" fillId="2" borderId="5" xfId="0" applyFont="1" applyFill="1" applyBorder="1" applyAlignment="1">
      <alignment horizontal="center"/>
    </xf>
    <xf numFmtId="0" fontId="15" fillId="2" borderId="5" xfId="0" applyFont="1" applyFill="1" applyBorder="1"/>
    <xf numFmtId="0" fontId="19" fillId="2" borderId="5" xfId="0" applyFont="1" applyFill="1" applyBorder="1"/>
    <xf numFmtId="171" fontId="16" fillId="0" borderId="8" xfId="0" applyNumberFormat="1" applyFont="1" applyBorder="1"/>
    <xf numFmtId="174" fontId="16" fillId="0" borderId="9" xfId="0" applyNumberFormat="1" applyFont="1" applyBorder="1" applyAlignment="1">
      <alignment vertical="center"/>
    </xf>
    <xf numFmtId="174" fontId="16" fillId="0" borderId="10" xfId="0" applyNumberFormat="1" applyFont="1" applyBorder="1" applyAlignment="1">
      <alignment vertical="center"/>
    </xf>
    <xf numFmtId="0" fontId="20" fillId="2" borderId="5" xfId="0" applyFont="1" applyFill="1" applyBorder="1"/>
    <xf numFmtId="171" fontId="16" fillId="0" borderId="18" xfId="0" applyNumberFormat="1" applyFont="1" applyBorder="1"/>
    <xf numFmtId="0" fontId="17" fillId="0" borderId="19" xfId="0" applyFont="1" applyBorder="1" applyAlignment="1">
      <alignment horizontal="right" vertical="center"/>
    </xf>
    <xf numFmtId="0" fontId="26" fillId="2" borderId="5" xfId="0" applyFont="1" applyFill="1" applyBorder="1"/>
    <xf numFmtId="10" fontId="6" fillId="5" borderId="5" xfId="0" applyNumberFormat="1" applyFont="1" applyFill="1" applyBorder="1" applyAlignment="1">
      <alignment vertical="center"/>
    </xf>
    <xf numFmtId="174" fontId="4" fillId="4" borderId="5" xfId="0" applyNumberFormat="1" applyFont="1" applyFill="1" applyBorder="1" applyAlignment="1">
      <alignment vertical="center"/>
    </xf>
    <xf numFmtId="0" fontId="29" fillId="0" borderId="0" xfId="0" applyFont="1"/>
    <xf numFmtId="0" fontId="29" fillId="4" borderId="0" xfId="0" applyFont="1" applyFill="1"/>
    <xf numFmtId="0" fontId="31" fillId="5" borderId="5" xfId="0" applyFont="1" applyFill="1" applyBorder="1"/>
    <xf numFmtId="0" fontId="6" fillId="0" borderId="15" xfId="0" applyFont="1" applyBorder="1"/>
    <xf numFmtId="0" fontId="29" fillId="4" borderId="0" xfId="0" applyFont="1" applyFill="1" applyAlignment="1">
      <alignment wrapText="1"/>
    </xf>
    <xf numFmtId="0" fontId="31" fillId="2" borderId="5" xfId="0" applyFont="1" applyFill="1" applyBorder="1"/>
    <xf numFmtId="0" fontId="16" fillId="3" borderId="5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vertical="center"/>
    </xf>
    <xf numFmtId="173" fontId="16" fillId="3" borderId="5" xfId="0" applyNumberFormat="1" applyFont="1" applyFill="1" applyBorder="1" applyAlignment="1">
      <alignment horizontal="center"/>
    </xf>
    <xf numFmtId="173" fontId="16" fillId="3" borderId="5" xfId="0" applyNumberFormat="1" applyFont="1" applyFill="1" applyBorder="1"/>
    <xf numFmtId="175" fontId="6" fillId="5" borderId="5" xfId="0" applyNumberFormat="1" applyFont="1" applyFill="1" applyBorder="1" applyAlignment="1">
      <alignment vertical="center"/>
    </xf>
    <xf numFmtId="171" fontId="6" fillId="2" borderId="5" xfId="0" applyNumberFormat="1" applyFont="1" applyFill="1" applyBorder="1"/>
    <xf numFmtId="170" fontId="6" fillId="2" borderId="5" xfId="0" applyNumberFormat="1" applyFont="1" applyFill="1" applyBorder="1"/>
    <xf numFmtId="0" fontId="12" fillId="2" borderId="14" xfId="0" applyFont="1" applyFill="1" applyBorder="1" applyAlignment="1" applyProtection="1">
      <alignment horizontal="left"/>
      <protection locked="0"/>
    </xf>
    <xf numFmtId="176" fontId="14" fillId="2" borderId="4" xfId="0" applyNumberFormat="1" applyFont="1" applyFill="1" applyBorder="1" applyAlignment="1" applyProtection="1">
      <alignment horizontal="center" vertical="center"/>
      <protection locked="0"/>
    </xf>
    <xf numFmtId="0" fontId="30" fillId="4" borderId="6" xfId="4" applyFont="1" applyFill="1" applyBorder="1" applyAlignment="1" applyProtection="1">
      <alignment horizontal="center" vertical="center"/>
      <protection locked="0"/>
    </xf>
    <xf numFmtId="0" fontId="17" fillId="0" borderId="32" xfId="0" applyFont="1" applyBorder="1" applyAlignment="1">
      <alignment horizontal="right"/>
    </xf>
    <xf numFmtId="0" fontId="16" fillId="2" borderId="25" xfId="0" applyFont="1" applyFill="1" applyBorder="1"/>
    <xf numFmtId="172" fontId="12" fillId="0" borderId="34" xfId="0" applyNumberFormat="1" applyFont="1" applyBorder="1" applyAlignment="1">
      <alignment horizontal="right" vertical="center"/>
    </xf>
    <xf numFmtId="0" fontId="34" fillId="4" borderId="0" xfId="0" applyFont="1" applyFill="1" applyAlignment="1">
      <alignment horizontal="left"/>
    </xf>
    <xf numFmtId="0" fontId="5" fillId="0" borderId="0" xfId="0" applyFont="1"/>
    <xf numFmtId="9" fontId="5" fillId="0" borderId="0" xfId="0" applyNumberFormat="1" applyFont="1"/>
    <xf numFmtId="10" fontId="5" fillId="0" borderId="0" xfId="0" applyNumberFormat="1" applyFont="1"/>
    <xf numFmtId="0" fontId="38" fillId="0" borderId="0" xfId="0" applyFont="1"/>
    <xf numFmtId="0" fontId="38" fillId="7" borderId="6" xfId="4" applyFont="1" applyFill="1" applyBorder="1" applyAlignment="1">
      <alignment horizontal="center" vertical="center"/>
    </xf>
    <xf numFmtId="9" fontId="38" fillId="4" borderId="6" xfId="5" applyFont="1" applyFill="1" applyBorder="1"/>
    <xf numFmtId="9" fontId="5" fillId="4" borderId="6" xfId="5" applyFont="1" applyFill="1" applyBorder="1"/>
    <xf numFmtId="0" fontId="38" fillId="0" borderId="6" xfId="0" applyFont="1" applyBorder="1" applyAlignment="1">
      <alignment horizontal="center"/>
    </xf>
    <xf numFmtId="0" fontId="38" fillId="0" borderId="6" xfId="4" applyFont="1" applyBorder="1" applyAlignment="1">
      <alignment horizontal="center"/>
    </xf>
    <xf numFmtId="0" fontId="38" fillId="0" borderId="0" xfId="0" applyFont="1" applyAlignment="1">
      <alignment horizontal="center"/>
    </xf>
    <xf numFmtId="0" fontId="25" fillId="0" borderId="0" xfId="0" applyFont="1"/>
    <xf numFmtId="10" fontId="0" fillId="0" borderId="5" xfId="5" applyNumberFormat="1" applyFont="1"/>
    <xf numFmtId="10" fontId="25" fillId="0" borderId="5" xfId="5" applyNumberFormat="1" applyFont="1"/>
    <xf numFmtId="0" fontId="17" fillId="0" borderId="37" xfId="0" applyFont="1" applyBorder="1"/>
    <xf numFmtId="0" fontId="29" fillId="4" borderId="5" xfId="0" applyFont="1" applyFill="1" applyBorder="1"/>
    <xf numFmtId="0" fontId="30" fillId="4" borderId="5" xfId="4" applyFont="1" applyFill="1" applyAlignment="1" applyProtection="1">
      <alignment horizontal="center" vertical="center"/>
      <protection locked="0"/>
    </xf>
    <xf numFmtId="166" fontId="31" fillId="2" borderId="5" xfId="0" applyNumberFormat="1" applyFont="1" applyFill="1" applyBorder="1"/>
    <xf numFmtId="3" fontId="31" fillId="2" borderId="5" xfId="0" applyNumberFormat="1" applyFont="1" applyFill="1" applyBorder="1" applyAlignment="1">
      <alignment horizontal="right"/>
    </xf>
    <xf numFmtId="173" fontId="31" fillId="2" borderId="5" xfId="0" applyNumberFormat="1" applyFont="1" applyFill="1" applyBorder="1"/>
    <xf numFmtId="0" fontId="31" fillId="4" borderId="5" xfId="0" applyFont="1" applyFill="1" applyBorder="1"/>
    <xf numFmtId="0" fontId="31" fillId="4" borderId="0" xfId="0" applyFont="1" applyFill="1"/>
    <xf numFmtId="0" fontId="4" fillId="4" borderId="5" xfId="0" applyFont="1" applyFill="1" applyBorder="1"/>
    <xf numFmtId="168" fontId="15" fillId="4" borderId="5" xfId="0" applyNumberFormat="1" applyFont="1" applyFill="1" applyBorder="1" applyAlignment="1">
      <alignment horizontal="center"/>
    </xf>
    <xf numFmtId="171" fontId="12" fillId="4" borderId="5" xfId="0" applyNumberFormat="1" applyFont="1" applyFill="1" applyBorder="1" applyProtection="1">
      <protection locked="0"/>
    </xf>
    <xf numFmtId="0" fontId="12" fillId="4" borderId="5" xfId="0" applyFont="1" applyFill="1" applyBorder="1" applyProtection="1">
      <protection locked="0"/>
    </xf>
    <xf numFmtId="0" fontId="31" fillId="4" borderId="5" xfId="0" applyFont="1" applyFill="1" applyBorder="1" applyProtection="1">
      <protection locked="0"/>
    </xf>
    <xf numFmtId="176" fontId="34" fillId="4" borderId="5" xfId="0" applyNumberFormat="1" applyFont="1" applyFill="1" applyBorder="1"/>
    <xf numFmtId="2" fontId="33" fillId="4" borderId="5" xfId="0" applyNumberFormat="1" applyFont="1" applyFill="1" applyBorder="1"/>
    <xf numFmtId="0" fontId="34" fillId="4" borderId="5" xfId="0" applyFont="1" applyFill="1" applyBorder="1" applyProtection="1">
      <protection locked="0"/>
    </xf>
    <xf numFmtId="0" fontId="12" fillId="2" borderId="5" xfId="0" applyFont="1" applyFill="1" applyBorder="1" applyAlignment="1" applyProtection="1">
      <alignment horizontal="center"/>
      <protection locked="0"/>
    </xf>
    <xf numFmtId="0" fontId="12" fillId="2" borderId="17" xfId="0" applyFont="1" applyFill="1" applyBorder="1" applyAlignment="1" applyProtection="1">
      <alignment horizontal="center"/>
      <protection locked="0"/>
    </xf>
    <xf numFmtId="0" fontId="14" fillId="8" borderId="5" xfId="0" applyFont="1" applyFill="1" applyBorder="1" applyAlignment="1">
      <alignment horizontal="center"/>
    </xf>
    <xf numFmtId="0" fontId="14" fillId="8" borderId="5" xfId="0" applyFont="1" applyFill="1" applyBorder="1" applyAlignment="1">
      <alignment horizontal="left"/>
    </xf>
    <xf numFmtId="0" fontId="14" fillId="8" borderId="5" xfId="0" applyFont="1" applyFill="1" applyBorder="1" applyAlignment="1">
      <alignment horizontal="center" vertical="center"/>
    </xf>
    <xf numFmtId="0" fontId="14" fillId="8" borderId="5" xfId="0" applyFont="1" applyFill="1" applyBorder="1" applyAlignment="1">
      <alignment vertical="center"/>
    </xf>
    <xf numFmtId="171" fontId="16" fillId="11" borderId="8" xfId="0" applyNumberFormat="1" applyFont="1" applyFill="1" applyBorder="1"/>
    <xf numFmtId="174" fontId="16" fillId="11" borderId="9" xfId="0" applyNumberFormat="1" applyFont="1" applyFill="1" applyBorder="1" applyAlignment="1">
      <alignment vertical="center"/>
    </xf>
    <xf numFmtId="174" fontId="16" fillId="11" borderId="5" xfId="0" applyNumberFormat="1" applyFont="1" applyFill="1" applyBorder="1" applyAlignment="1">
      <alignment vertical="center"/>
    </xf>
    <xf numFmtId="0" fontId="29" fillId="13" borderId="0" xfId="0" applyFont="1" applyFill="1"/>
    <xf numFmtId="0" fontId="4" fillId="10" borderId="5" xfId="0" applyFont="1" applyFill="1" applyBorder="1"/>
    <xf numFmtId="176" fontId="34" fillId="15" borderId="6" xfId="0" applyNumberFormat="1" applyFont="1" applyFill="1" applyBorder="1"/>
    <xf numFmtId="176" fontId="34" fillId="15" borderId="2" xfId="0" applyNumberFormat="1" applyFont="1" applyFill="1" applyBorder="1"/>
    <xf numFmtId="0" fontId="42" fillId="5" borderId="5" xfId="0" applyFont="1" applyFill="1" applyBorder="1"/>
    <xf numFmtId="0" fontId="42" fillId="2" borderId="5" xfId="0" applyFont="1" applyFill="1" applyBorder="1"/>
    <xf numFmtId="0" fontId="48" fillId="5" borderId="38" xfId="0" applyFont="1" applyFill="1" applyBorder="1" applyProtection="1">
      <protection locked="0"/>
    </xf>
    <xf numFmtId="0" fontId="48" fillId="4" borderId="5" xfId="0" applyFont="1" applyFill="1" applyBorder="1" applyProtection="1">
      <protection locked="0"/>
    </xf>
    <xf numFmtId="0" fontId="49" fillId="2" borderId="6" xfId="0" applyFont="1" applyFill="1" applyBorder="1" applyProtection="1">
      <protection locked="0"/>
    </xf>
    <xf numFmtId="0" fontId="49" fillId="4" borderId="6" xfId="4" applyFont="1" applyFill="1" applyBorder="1" applyAlignment="1" applyProtection="1">
      <alignment horizontal="center"/>
      <protection locked="0"/>
    </xf>
    <xf numFmtId="0" fontId="49" fillId="0" borderId="6" xfId="0" applyFont="1" applyBorder="1" applyProtection="1">
      <protection locked="0"/>
    </xf>
    <xf numFmtId="0" fontId="49" fillId="2" borderId="30" xfId="0" applyFont="1" applyFill="1" applyBorder="1" applyProtection="1">
      <protection locked="0"/>
    </xf>
    <xf numFmtId="0" fontId="49" fillId="2" borderId="31" xfId="0" applyFont="1" applyFill="1" applyBorder="1" applyProtection="1">
      <protection locked="0"/>
    </xf>
    <xf numFmtId="0" fontId="49" fillId="4" borderId="17" xfId="4" applyFont="1" applyFill="1" applyBorder="1" applyAlignment="1" applyProtection="1">
      <alignment horizontal="center"/>
      <protection locked="0"/>
    </xf>
    <xf numFmtId="0" fontId="49" fillId="0" borderId="17" xfId="0" applyFont="1" applyBorder="1" applyProtection="1">
      <protection locked="0"/>
    </xf>
    <xf numFmtId="4" fontId="44" fillId="8" borderId="39" xfId="0" applyNumberFormat="1" applyFont="1" applyFill="1" applyBorder="1"/>
    <xf numFmtId="2" fontId="34" fillId="2" borderId="2" xfId="0" applyNumberFormat="1" applyFont="1" applyFill="1" applyBorder="1"/>
    <xf numFmtId="170" fontId="33" fillId="2" borderId="5" xfId="0" applyNumberFormat="1" applyFont="1" applyFill="1" applyBorder="1" applyProtection="1">
      <protection locked="0"/>
    </xf>
    <xf numFmtId="170" fontId="33" fillId="0" borderId="33" xfId="0" applyNumberFormat="1" applyFont="1" applyBorder="1"/>
    <xf numFmtId="178" fontId="49" fillId="2" borderId="12" xfId="112" applyNumberFormat="1" applyFont="1" applyFill="1" applyBorder="1" applyAlignment="1" applyProtection="1">
      <protection locked="0"/>
    </xf>
    <xf numFmtId="178" fontId="49" fillId="2" borderId="44" xfId="112" applyNumberFormat="1" applyFont="1" applyFill="1" applyBorder="1" applyAlignment="1" applyProtection="1">
      <protection locked="0"/>
    </xf>
    <xf numFmtId="178" fontId="12" fillId="4" borderId="5" xfId="112" applyNumberFormat="1" applyFont="1" applyFill="1" applyBorder="1" applyProtection="1">
      <protection locked="0"/>
    </xf>
    <xf numFmtId="164" fontId="34" fillId="2" borderId="1" xfId="112" applyFont="1" applyFill="1" applyBorder="1" applyAlignment="1" applyProtection="1"/>
    <xf numFmtId="164" fontId="34" fillId="4" borderId="5" xfId="112" applyFont="1" applyFill="1" applyBorder="1" applyProtection="1"/>
    <xf numFmtId="0" fontId="31" fillId="2" borderId="5" xfId="0" applyFont="1" applyFill="1" applyBorder="1" applyProtection="1">
      <protection locked="0"/>
    </xf>
    <xf numFmtId="0" fontId="51" fillId="11" borderId="0" xfId="0" applyFont="1" applyFill="1"/>
    <xf numFmtId="4" fontId="52" fillId="6" borderId="39" xfId="0" applyNumberFormat="1" applyFont="1" applyFill="1" applyBorder="1"/>
    <xf numFmtId="3" fontId="52" fillId="2" borderId="27" xfId="0" applyNumberFormat="1" applyFont="1" applyFill="1" applyBorder="1"/>
    <xf numFmtId="4" fontId="50" fillId="2" borderId="28" xfId="0" applyNumberFormat="1" applyFont="1" applyFill="1" applyBorder="1"/>
    <xf numFmtId="4" fontId="50" fillId="10" borderId="39" xfId="0" applyNumberFormat="1" applyFont="1" applyFill="1" applyBorder="1"/>
    <xf numFmtId="4" fontId="50" fillId="5" borderId="5" xfId="0" applyNumberFormat="1" applyFont="1" applyFill="1" applyBorder="1"/>
    <xf numFmtId="0" fontId="53" fillId="13" borderId="7" xfId="4" applyFont="1" applyFill="1" applyBorder="1" applyAlignment="1">
      <alignment horizontal="center" vertical="center"/>
    </xf>
    <xf numFmtId="0" fontId="53" fillId="13" borderId="11" xfId="4" applyFont="1" applyFill="1" applyBorder="1" applyAlignment="1">
      <alignment horizontal="center" vertical="center"/>
    </xf>
    <xf numFmtId="0" fontId="53" fillId="13" borderId="12" xfId="4" applyFont="1" applyFill="1" applyBorder="1" applyAlignment="1">
      <alignment horizontal="center" vertical="center"/>
    </xf>
    <xf numFmtId="0" fontId="53" fillId="13" borderId="5" xfId="4" applyFont="1" applyFill="1" applyAlignment="1">
      <alignment horizontal="center" vertical="center"/>
    </xf>
    <xf numFmtId="0" fontId="54" fillId="4" borderId="5" xfId="4" applyFont="1" applyFill="1" applyAlignment="1">
      <alignment horizontal="center" vertical="center"/>
    </xf>
    <xf numFmtId="0" fontId="54" fillId="4" borderId="5" xfId="4" applyFont="1" applyFill="1"/>
    <xf numFmtId="0" fontId="53" fillId="13" borderId="6" xfId="4" applyFont="1" applyFill="1" applyBorder="1" applyAlignment="1">
      <alignment horizontal="center" vertical="center"/>
    </xf>
    <xf numFmtId="0" fontId="54" fillId="11" borderId="6" xfId="4" applyFont="1" applyFill="1" applyBorder="1" applyAlignment="1">
      <alignment horizontal="center" vertical="center"/>
    </xf>
    <xf numFmtId="9" fontId="54" fillId="0" borderId="6" xfId="4" applyNumberFormat="1" applyFont="1" applyBorder="1"/>
    <xf numFmtId="9" fontId="54" fillId="4" borderId="5" xfId="4" applyNumberFormat="1" applyFont="1" applyFill="1"/>
    <xf numFmtId="41" fontId="54" fillId="4" borderId="5" xfId="4" applyNumberFormat="1" applyFont="1" applyFill="1"/>
    <xf numFmtId="0" fontId="55" fillId="13" borderId="7" xfId="4" applyFont="1" applyFill="1" applyBorder="1" applyAlignment="1">
      <alignment vertical="center"/>
    </xf>
    <xf numFmtId="0" fontId="55" fillId="13" borderId="6" xfId="4" applyFont="1" applyFill="1" applyBorder="1" applyAlignment="1">
      <alignment horizontal="center" vertical="center"/>
    </xf>
    <xf numFmtId="41" fontId="54" fillId="0" borderId="6" xfId="6" applyFont="1" applyBorder="1"/>
    <xf numFmtId="0" fontId="53" fillId="4" borderId="5" xfId="4" applyFont="1" applyFill="1"/>
    <xf numFmtId="177" fontId="54" fillId="4" borderId="5" xfId="4" applyNumberFormat="1" applyFont="1" applyFill="1"/>
    <xf numFmtId="0" fontId="55" fillId="13" borderId="7" xfId="4" applyFont="1" applyFill="1" applyBorder="1" applyAlignment="1">
      <alignment horizontal="center" vertical="center"/>
    </xf>
    <xf numFmtId="0" fontId="55" fillId="13" borderId="11" xfId="4" applyFont="1" applyFill="1" applyBorder="1" applyAlignment="1">
      <alignment horizontal="left" vertical="center"/>
    </xf>
    <xf numFmtId="0" fontId="54" fillId="13" borderId="11" xfId="4" applyFont="1" applyFill="1" applyBorder="1" applyAlignment="1">
      <alignment horizontal="center" vertical="center"/>
    </xf>
    <xf numFmtId="0" fontId="54" fillId="13" borderId="12" xfId="4" applyFont="1" applyFill="1" applyBorder="1" applyAlignment="1">
      <alignment horizontal="center" vertical="center"/>
    </xf>
    <xf numFmtId="0" fontId="54" fillId="4" borderId="5" xfId="4" applyFont="1" applyFill="1" applyAlignment="1">
      <alignment horizontal="left" vertical="center"/>
    </xf>
    <xf numFmtId="0" fontId="54" fillId="4" borderId="5" xfId="4" applyFont="1" applyFill="1" applyAlignment="1">
      <alignment horizontal="left"/>
    </xf>
    <xf numFmtId="0" fontId="56" fillId="11" borderId="6" xfId="4" applyFont="1" applyFill="1" applyBorder="1" applyAlignment="1">
      <alignment horizontal="center" vertical="center"/>
    </xf>
    <xf numFmtId="0" fontId="55" fillId="13" borderId="6" xfId="4" applyFont="1" applyFill="1" applyBorder="1" applyAlignment="1">
      <alignment horizontal="left" vertical="center"/>
    </xf>
    <xf numFmtId="0" fontId="54" fillId="4" borderId="5" xfId="4" applyFont="1" applyFill="1" applyAlignment="1">
      <alignment vertical="center"/>
    </xf>
    <xf numFmtId="166" fontId="50" fillId="15" borderId="13" xfId="0" applyNumberFormat="1" applyFont="1" applyFill="1" applyBorder="1"/>
    <xf numFmtId="0" fontId="8" fillId="14" borderId="5" xfId="0" applyFont="1" applyFill="1" applyBorder="1" applyAlignment="1">
      <alignment horizontal="center"/>
    </xf>
    <xf numFmtId="0" fontId="8" fillId="2" borderId="5" xfId="0" applyFont="1" applyFill="1" applyBorder="1"/>
    <xf numFmtId="0" fontId="47" fillId="2" borderId="5" xfId="0" applyFont="1" applyFill="1" applyBorder="1" applyAlignment="1">
      <alignment horizontal="right" vertical="center"/>
    </xf>
    <xf numFmtId="0" fontId="4" fillId="2" borderId="5" xfId="0" applyFont="1" applyFill="1" applyBorder="1" applyAlignment="1">
      <alignment horizontal="right" vertical="center"/>
    </xf>
    <xf numFmtId="0" fontId="27" fillId="2" borderId="5" xfId="0" applyFont="1" applyFill="1" applyBorder="1" applyAlignment="1">
      <alignment horizontal="right" vertical="center"/>
    </xf>
    <xf numFmtId="0" fontId="4" fillId="2" borderId="5" xfId="0" applyFont="1" applyFill="1" applyBorder="1"/>
    <xf numFmtId="0" fontId="16" fillId="2" borderId="5" xfId="0" applyFont="1" applyFill="1" applyBorder="1"/>
    <xf numFmtId="0" fontId="15" fillId="8" borderId="5" xfId="0" applyFont="1" applyFill="1" applyBorder="1" applyAlignment="1">
      <alignment horizontal="center"/>
    </xf>
    <xf numFmtId="170" fontId="33" fillId="2" borderId="5" xfId="0" applyNumberFormat="1" applyFont="1" applyFill="1" applyBorder="1"/>
    <xf numFmtId="173" fontId="6" fillId="2" borderId="5" xfId="0" applyNumberFormat="1" applyFont="1" applyFill="1" applyBorder="1"/>
    <xf numFmtId="169" fontId="6" fillId="2" borderId="5" xfId="0" applyNumberFormat="1" applyFont="1" applyFill="1" applyBorder="1"/>
    <xf numFmtId="0" fontId="4" fillId="5" borderId="5" xfId="0" applyFont="1" applyFill="1" applyBorder="1"/>
    <xf numFmtId="0" fontId="33" fillId="5" borderId="5" xfId="0" applyFont="1" applyFill="1" applyBorder="1" applyAlignment="1">
      <alignment horizontal="center" vertical="top"/>
    </xf>
    <xf numFmtId="0" fontId="6" fillId="2" borderId="5" xfId="0" applyFont="1" applyFill="1" applyBorder="1" applyAlignment="1">
      <alignment vertical="top"/>
    </xf>
    <xf numFmtId="0" fontId="35" fillId="2" borderId="5" xfId="0" applyFont="1" applyFill="1" applyBorder="1" applyAlignment="1">
      <alignment horizontal="center"/>
    </xf>
    <xf numFmtId="165" fontId="14" fillId="8" borderId="5" xfId="0" applyNumberFormat="1" applyFont="1" applyFill="1" applyBorder="1" applyAlignment="1">
      <alignment horizontal="center" vertical="center"/>
    </xf>
    <xf numFmtId="0" fontId="8" fillId="14" borderId="5" xfId="0" applyFont="1" applyFill="1" applyBorder="1"/>
    <xf numFmtId="0" fontId="37" fillId="2" borderId="5" xfId="0" applyFont="1" applyFill="1" applyBorder="1"/>
    <xf numFmtId="166" fontId="12" fillId="2" borderId="5" xfId="0" applyNumberFormat="1" applyFont="1" applyFill="1" applyBorder="1"/>
    <xf numFmtId="0" fontId="12" fillId="2" borderId="5" xfId="0" applyFont="1" applyFill="1" applyBorder="1"/>
    <xf numFmtId="0" fontId="12" fillId="5" borderId="5" xfId="0" applyFont="1" applyFill="1" applyBorder="1"/>
    <xf numFmtId="166" fontId="18" fillId="2" borderId="5" xfId="0" applyNumberFormat="1" applyFont="1" applyFill="1" applyBorder="1"/>
    <xf numFmtId="166" fontId="32" fillId="2" borderId="5" xfId="0" applyNumberFormat="1" applyFont="1" applyFill="1" applyBorder="1"/>
    <xf numFmtId="167" fontId="31" fillId="2" borderId="5" xfId="0" applyNumberFormat="1" applyFont="1" applyFill="1" applyBorder="1"/>
    <xf numFmtId="0" fontId="13" fillId="2" borderId="5" xfId="0" applyFont="1" applyFill="1" applyBorder="1" applyAlignment="1">
      <alignment horizontal="right" vertical="center"/>
    </xf>
    <xf numFmtId="0" fontId="15" fillId="9" borderId="5" xfId="0" applyFont="1" applyFill="1" applyBorder="1" applyAlignment="1">
      <alignment wrapText="1"/>
    </xf>
    <xf numFmtId="166" fontId="15" fillId="9" borderId="5" xfId="0" applyNumberFormat="1" applyFont="1" applyFill="1" applyBorder="1" applyAlignment="1">
      <alignment horizontal="center" wrapText="1"/>
    </xf>
    <xf numFmtId="0" fontId="15" fillId="9" borderId="5" xfId="0" applyFont="1" applyFill="1" applyBorder="1" applyAlignment="1">
      <alignment horizontal="center" wrapText="1"/>
    </xf>
    <xf numFmtId="0" fontId="15" fillId="8" borderId="5" xfId="0" applyFont="1" applyFill="1" applyBorder="1" applyAlignment="1">
      <alignment horizontal="center" wrapText="1"/>
    </xf>
    <xf numFmtId="0" fontId="31" fillId="5" borderId="5" xfId="0" applyFont="1" applyFill="1" applyBorder="1" applyAlignment="1">
      <alignment wrapText="1"/>
    </xf>
    <xf numFmtId="0" fontId="31" fillId="2" borderId="5" xfId="0" applyFont="1" applyFill="1" applyBorder="1" applyAlignment="1">
      <alignment horizontal="right"/>
    </xf>
    <xf numFmtId="14" fontId="50" fillId="5" borderId="5" xfId="0" applyNumberFormat="1" applyFont="1" applyFill="1" applyBorder="1"/>
    <xf numFmtId="0" fontId="50" fillId="14" borderId="5" xfId="0" applyFont="1" applyFill="1" applyBorder="1" applyAlignment="1">
      <alignment horizontal="left" vertical="center"/>
    </xf>
    <xf numFmtId="0" fontId="50" fillId="14" borderId="5" xfId="0" applyFont="1" applyFill="1" applyBorder="1" applyAlignment="1" applyProtection="1">
      <alignment vertical="center"/>
      <protection locked="0"/>
    </xf>
    <xf numFmtId="0" fontId="50" fillId="14" borderId="5" xfId="0" applyFont="1" applyFill="1" applyBorder="1" applyAlignment="1">
      <alignment horizontal="center"/>
    </xf>
    <xf numFmtId="0" fontId="50" fillId="14" borderId="5" xfId="0" applyFont="1" applyFill="1" applyBorder="1"/>
    <xf numFmtId="2" fontId="50" fillId="14" borderId="5" xfId="0" applyNumberFormat="1" applyFont="1" applyFill="1" applyBorder="1"/>
    <xf numFmtId="0" fontId="50" fillId="5" borderId="5" xfId="0" applyFont="1" applyFill="1" applyBorder="1"/>
    <xf numFmtId="0" fontId="45" fillId="12" borderId="5" xfId="0" applyFont="1" applyFill="1" applyBorder="1" applyAlignment="1">
      <alignment horizontal="left" vertical="center"/>
    </xf>
    <xf numFmtId="0" fontId="4" fillId="12" borderId="5" xfId="0" applyFont="1" applyFill="1" applyBorder="1" applyAlignment="1" applyProtection="1">
      <alignment vertical="center"/>
      <protection locked="0"/>
    </xf>
    <xf numFmtId="173" fontId="4" fillId="12" borderId="5" xfId="0" applyNumberFormat="1" applyFont="1" applyFill="1" applyBorder="1" applyAlignment="1">
      <alignment horizontal="center"/>
    </xf>
    <xf numFmtId="173" fontId="45" fillId="12" borderId="5" xfId="0" applyNumberFormat="1" applyFont="1" applyFill="1" applyBorder="1"/>
    <xf numFmtId="0" fontId="34" fillId="5" borderId="5" xfId="0" applyFont="1" applyFill="1" applyBorder="1"/>
    <xf numFmtId="166" fontId="42" fillId="5" borderId="5" xfId="0" applyNumberFormat="1" applyFont="1" applyFill="1" applyBorder="1"/>
    <xf numFmtId="2" fontId="34" fillId="2" borderId="29" xfId="0" applyNumberFormat="1" applyFont="1" applyFill="1" applyBorder="1"/>
    <xf numFmtId="0" fontId="30" fillId="2" borderId="45" xfId="0" applyFont="1" applyFill="1" applyBorder="1"/>
    <xf numFmtId="0" fontId="30" fillId="2" borderId="43" xfId="0" applyFont="1" applyFill="1" applyBorder="1"/>
    <xf numFmtId="0" fontId="30" fillId="2" borderId="29" xfId="0" applyFont="1" applyFill="1" applyBorder="1"/>
    <xf numFmtId="0" fontId="30" fillId="0" borderId="42" xfId="0" applyFont="1" applyBorder="1"/>
    <xf numFmtId="3" fontId="30" fillId="4" borderId="6" xfId="4" applyNumberFormat="1" applyFont="1" applyFill="1" applyBorder="1" applyAlignment="1" applyProtection="1">
      <alignment horizontal="center" vertical="center"/>
      <protection locked="0"/>
    </xf>
    <xf numFmtId="0" fontId="31" fillId="2" borderId="5" xfId="0" applyFont="1" applyFill="1" applyBorder="1" applyAlignment="1" applyProtection="1">
      <alignment wrapText="1"/>
      <protection locked="0"/>
    </xf>
    <xf numFmtId="168" fontId="15" fillId="4" borderId="3" xfId="0" applyNumberFormat="1" applyFont="1" applyFill="1" applyBorder="1" applyAlignment="1" applyProtection="1">
      <alignment horizontal="right"/>
      <protection locked="0"/>
    </xf>
    <xf numFmtId="0" fontId="31" fillId="0" borderId="42" xfId="0" applyFont="1" applyBorder="1"/>
    <xf numFmtId="168" fontId="36" fillId="4" borderId="3" xfId="114" applyNumberFormat="1" applyFill="1" applyBorder="1" applyAlignment="1" applyProtection="1">
      <alignment horizontal="right"/>
      <protection locked="0"/>
    </xf>
    <xf numFmtId="3" fontId="30" fillId="2" borderId="42" xfId="0" applyNumberFormat="1" applyFont="1" applyFill="1" applyBorder="1"/>
    <xf numFmtId="0" fontId="30" fillId="2" borderId="42" xfId="0" applyFont="1" applyFill="1" applyBorder="1"/>
    <xf numFmtId="0" fontId="12" fillId="2" borderId="4" xfId="0" applyFont="1" applyFill="1" applyBorder="1" applyAlignment="1" applyProtection="1">
      <alignment horizontal="center" vertical="center"/>
      <protection locked="0"/>
    </xf>
    <xf numFmtId="0" fontId="36" fillId="0" borderId="5" xfId="114" applyFill="1" applyBorder="1"/>
    <xf numFmtId="10" fontId="4" fillId="0" borderId="5" xfId="0" applyNumberFormat="1" applyFont="1" applyBorder="1" applyAlignment="1">
      <alignment vertical="center"/>
    </xf>
    <xf numFmtId="174" fontId="4" fillId="0" borderId="5" xfId="0" applyNumberFormat="1" applyFont="1" applyBorder="1" applyAlignment="1">
      <alignment vertical="center"/>
    </xf>
    <xf numFmtId="0" fontId="14" fillId="15" borderId="5" xfId="0" applyFont="1" applyFill="1" applyBorder="1"/>
    <xf numFmtId="10" fontId="17" fillId="15" borderId="5" xfId="0" applyNumberFormat="1" applyFont="1" applyFill="1" applyBorder="1" applyAlignment="1">
      <alignment vertical="center"/>
    </xf>
    <xf numFmtId="0" fontId="43" fillId="5" borderId="13" xfId="0" applyFont="1" applyFill="1" applyBorder="1" applyAlignment="1" applyProtection="1">
      <alignment horizontal="left" vertical="top" wrapText="1"/>
      <protection locked="0"/>
    </xf>
    <xf numFmtId="0" fontId="43" fillId="5" borderId="27" xfId="0" applyFont="1" applyFill="1" applyBorder="1" applyAlignment="1" applyProtection="1">
      <alignment horizontal="left" vertical="top" wrapText="1"/>
      <protection locked="0"/>
    </xf>
    <xf numFmtId="0" fontId="43" fillId="5" borderId="28" xfId="0" applyFont="1" applyFill="1" applyBorder="1" applyAlignment="1" applyProtection="1">
      <alignment horizontal="left" vertical="top" wrapText="1"/>
      <protection locked="0"/>
    </xf>
    <xf numFmtId="0" fontId="33" fillId="5" borderId="5" xfId="0" applyFont="1" applyFill="1" applyBorder="1" applyAlignment="1">
      <alignment horizontal="center" vertical="top" wrapText="1"/>
    </xf>
    <xf numFmtId="0" fontId="46" fillId="4" borderId="5" xfId="0" applyFont="1" applyFill="1" applyBorder="1"/>
    <xf numFmtId="0" fontId="40" fillId="12" borderId="5" xfId="0" applyFont="1" applyFill="1" applyBorder="1" applyAlignment="1">
      <alignment horizontal="center"/>
    </xf>
    <xf numFmtId="0" fontId="41" fillId="13" borderId="5" xfId="0" applyFont="1" applyFill="1" applyBorder="1"/>
    <xf numFmtId="0" fontId="16" fillId="2" borderId="35" xfId="0" applyFont="1" applyFill="1" applyBorder="1" applyAlignment="1">
      <alignment horizontal="center"/>
    </xf>
    <xf numFmtId="0" fontId="16" fillId="2" borderId="36" xfId="0" applyFont="1" applyFill="1" applyBorder="1" applyAlignment="1">
      <alignment horizontal="center"/>
    </xf>
    <xf numFmtId="6" fontId="12" fillId="2" borderId="40" xfId="0" applyNumberFormat="1" applyFont="1" applyFill="1" applyBorder="1" applyAlignment="1" applyProtection="1">
      <alignment horizontal="center" vertical="center"/>
      <protection locked="0"/>
    </xf>
    <xf numFmtId="0" fontId="12" fillId="2" borderId="41" xfId="0" applyFont="1" applyFill="1" applyBorder="1" applyAlignment="1" applyProtection="1">
      <alignment horizontal="center" vertical="center"/>
      <protection locked="0"/>
    </xf>
    <xf numFmtId="0" fontId="34" fillId="5" borderId="20" xfId="0" applyFont="1" applyFill="1" applyBorder="1" applyAlignment="1" applyProtection="1">
      <alignment horizontal="left" vertical="top" wrapText="1"/>
      <protection locked="0"/>
    </xf>
    <xf numFmtId="0" fontId="34" fillId="5" borderId="16" xfId="0" applyFont="1" applyFill="1" applyBorder="1" applyAlignment="1" applyProtection="1">
      <alignment horizontal="left" vertical="top" wrapText="1"/>
      <protection locked="0"/>
    </xf>
    <xf numFmtId="0" fontId="34" fillId="5" borderId="21" xfId="0" applyFont="1" applyFill="1" applyBorder="1" applyAlignment="1" applyProtection="1">
      <alignment horizontal="left" vertical="top" wrapText="1"/>
      <protection locked="0"/>
    </xf>
    <xf numFmtId="0" fontId="34" fillId="5" borderId="22" xfId="0" applyFont="1" applyFill="1" applyBorder="1" applyAlignment="1" applyProtection="1">
      <alignment horizontal="left" vertical="top" wrapText="1"/>
      <protection locked="0"/>
    </xf>
    <xf numFmtId="0" fontId="34" fillId="5" borderId="5" xfId="0" applyFont="1" applyFill="1" applyBorder="1" applyAlignment="1" applyProtection="1">
      <alignment horizontal="left" vertical="top" wrapText="1"/>
      <protection locked="0"/>
    </xf>
    <xf numFmtId="0" fontId="34" fillId="5" borderId="23" xfId="0" applyFont="1" applyFill="1" applyBorder="1" applyAlignment="1" applyProtection="1">
      <alignment horizontal="left" vertical="top" wrapText="1"/>
      <protection locked="0"/>
    </xf>
    <xf numFmtId="0" fontId="34" fillId="5" borderId="24" xfId="0" applyFont="1" applyFill="1" applyBorder="1" applyAlignment="1" applyProtection="1">
      <alignment horizontal="left" vertical="top" wrapText="1"/>
      <protection locked="0"/>
    </xf>
    <xf numFmtId="0" fontId="34" fillId="5" borderId="25" xfId="0" applyFont="1" applyFill="1" applyBorder="1" applyAlignment="1" applyProtection="1">
      <alignment horizontal="left" vertical="top" wrapText="1"/>
      <protection locked="0"/>
    </xf>
    <xf numFmtId="0" fontId="34" fillId="5" borderId="26" xfId="0" applyFont="1" applyFill="1" applyBorder="1" applyAlignment="1" applyProtection="1">
      <alignment horizontal="left" vertical="top" wrapText="1"/>
      <protection locked="0"/>
    </xf>
    <xf numFmtId="0" fontId="12" fillId="2" borderId="14" xfId="0" applyFont="1" applyFill="1" applyBorder="1" applyAlignment="1" applyProtection="1">
      <alignment horizontal="center"/>
      <protection locked="0"/>
    </xf>
    <xf numFmtId="14" fontId="12" fillId="2" borderId="11" xfId="0" applyNumberFormat="1" applyFont="1" applyFill="1" applyBorder="1" applyAlignment="1" applyProtection="1">
      <alignment horizontal="center"/>
      <protection locked="0"/>
    </xf>
    <xf numFmtId="0" fontId="12" fillId="2" borderId="11" xfId="0" applyFont="1" applyFill="1" applyBorder="1" applyAlignment="1" applyProtection="1">
      <alignment horizontal="center"/>
      <protection locked="0"/>
    </xf>
    <xf numFmtId="0" fontId="8" fillId="14" borderId="5" xfId="0" applyFont="1" applyFill="1" applyBorder="1" applyAlignment="1">
      <alignment horizontal="center"/>
    </xf>
    <xf numFmtId="0" fontId="15" fillId="9" borderId="5" xfId="0" applyFont="1" applyFill="1" applyBorder="1" applyAlignment="1">
      <alignment horizontal="center"/>
    </xf>
    <xf numFmtId="0" fontId="28" fillId="13" borderId="5" xfId="0" applyFont="1" applyFill="1" applyBorder="1"/>
    <xf numFmtId="0" fontId="57" fillId="3" borderId="5" xfId="0" applyFont="1" applyFill="1" applyBorder="1" applyAlignment="1">
      <alignment horizontal="left"/>
    </xf>
    <xf numFmtId="0" fontId="58" fillId="4" borderId="5" xfId="0" applyFont="1" applyFill="1" applyBorder="1" applyAlignment="1">
      <alignment horizontal="left"/>
    </xf>
  </cellXfs>
  <cellStyles count="115">
    <cellStyle name="Hipervínculo" xfId="114" builtinId="8"/>
    <cellStyle name="Hipervínculo 2" xfId="52" xr:uid="{00000000-0005-0000-0000-000001000000}"/>
    <cellStyle name="Hipervínculo visitado" xfId="36" builtinId="9" hidden="1"/>
    <cellStyle name="Hipervínculo visitado" xfId="1" builtinId="9" hidden="1"/>
    <cellStyle name="Hipervínculo visitado" xfId="102" builtinId="9" hidden="1"/>
    <cellStyle name="Hipervínculo visitado" xfId="87" builtinId="9" hidden="1"/>
    <cellStyle name="Hipervínculo visitado" xfId="61" builtinId="9" hidden="1"/>
    <cellStyle name="Hipervínculo visitado" xfId="46" builtinId="9" hidden="1"/>
    <cellStyle name="Hipervínculo visitado" xfId="28" builtinId="9" hidden="1"/>
    <cellStyle name="Hipervínculo visitado" xfId="66" builtinId="9" hidden="1"/>
    <cellStyle name="Hipervínculo visitado" xfId="94" builtinId="9" hidden="1"/>
    <cellStyle name="Hipervínculo visitado" xfId="25" builtinId="9" hidden="1"/>
    <cellStyle name="Hipervínculo visitado" xfId="14" builtinId="9" hidden="1"/>
    <cellStyle name="Hipervínculo visitado" xfId="32" builtinId="9" hidden="1"/>
    <cellStyle name="Hipervínculo visitado" xfId="104" builtinId="9" hidden="1"/>
    <cellStyle name="Hipervínculo visitado" xfId="64" builtinId="9" hidden="1"/>
    <cellStyle name="Hipervínculo visitado" xfId="93" builtinId="9" hidden="1"/>
    <cellStyle name="Hipervínculo visitado" xfId="65" builtinId="9" hidden="1"/>
    <cellStyle name="Hipervínculo visitado" xfId="103" builtinId="9" hidden="1"/>
    <cellStyle name="Hipervínculo visitado" xfId="68" builtinId="9" hidden="1"/>
    <cellStyle name="Hipervínculo visitado" xfId="105" builtinId="9" hidden="1"/>
    <cellStyle name="Hipervínculo visitado" xfId="24" builtinId="9" hidden="1"/>
    <cellStyle name="Hipervínculo visitado" xfId="77" builtinId="9" hidden="1"/>
    <cellStyle name="Hipervínculo visitado" xfId="63" builtinId="9" hidden="1"/>
    <cellStyle name="Hipervínculo visitado" xfId="101" builtinId="9" hidden="1"/>
    <cellStyle name="Hipervínculo visitado" xfId="43" builtinId="9" hidden="1"/>
    <cellStyle name="Hipervínculo visitado" xfId="17" builtinId="9" hidden="1"/>
    <cellStyle name="Hipervínculo visitado" xfId="98" builtinId="9" hidden="1"/>
    <cellStyle name="Hipervínculo visitado" xfId="16" builtinId="9" hidden="1"/>
    <cellStyle name="Hipervínculo visitado" xfId="106" builtinId="9" hidden="1"/>
    <cellStyle name="Hipervínculo visitado" xfId="51" builtinId="9" hidden="1"/>
    <cellStyle name="Hipervínculo visitado" xfId="111" builtinId="9" hidden="1"/>
    <cellStyle name="Hipervínculo visitado" xfId="84" builtinId="9" hidden="1"/>
    <cellStyle name="Hipervínculo visitado" xfId="21" builtinId="9" hidden="1"/>
    <cellStyle name="Hipervínculo visitado" xfId="15" builtinId="9" hidden="1"/>
    <cellStyle name="Hipervínculo visitado" xfId="39" builtinId="9" hidden="1"/>
    <cellStyle name="Hipervínculo visitado" xfId="48" builtinId="9" hidden="1"/>
    <cellStyle name="Hipervínculo visitado" xfId="19" builtinId="9" hidden="1"/>
    <cellStyle name="Hipervínculo visitado" xfId="81" builtinId="9" hidden="1"/>
    <cellStyle name="Hipervínculo visitado" xfId="97" builtinId="9" hidden="1"/>
    <cellStyle name="Hipervínculo visitado" xfId="71" builtinId="9" hidden="1"/>
    <cellStyle name="Hipervínculo visitado" xfId="20" builtinId="9" hidden="1"/>
    <cellStyle name="Hipervínculo visitado" xfId="76" builtinId="9" hidden="1"/>
    <cellStyle name="Hipervínculo visitado" xfId="88" builtinId="9" hidden="1"/>
    <cellStyle name="Hipervínculo visitado" xfId="38" builtinId="9" hidden="1"/>
    <cellStyle name="Hipervínculo visitado" xfId="22" builtinId="9" hidden="1"/>
    <cellStyle name="Hipervínculo visitado" xfId="74" builtinId="9" hidden="1"/>
    <cellStyle name="Hipervínculo visitado" xfId="37" builtinId="9" hidden="1"/>
    <cellStyle name="Hipervínculo visitado" xfId="78" builtinId="9" hidden="1"/>
    <cellStyle name="Hipervínculo visitado" xfId="79" builtinId="9" hidden="1"/>
    <cellStyle name="Hipervínculo visitado" xfId="67" builtinId="9" hidden="1"/>
    <cellStyle name="Hipervínculo visitado" xfId="99" builtinId="9" hidden="1"/>
    <cellStyle name="Hipervínculo visitado" xfId="92" builtinId="9" hidden="1"/>
    <cellStyle name="Hipervínculo visitado" xfId="110" builtinId="9" hidden="1"/>
    <cellStyle name="Hipervínculo visitado" xfId="72" builtinId="9" hidden="1"/>
    <cellStyle name="Hipervínculo visitado" xfId="96" builtinId="9" hidden="1"/>
    <cellStyle name="Hipervínculo visitado" xfId="33" builtinId="9" hidden="1"/>
    <cellStyle name="Hipervínculo visitado" xfId="80" builtinId="9" hidden="1"/>
    <cellStyle name="Hipervínculo visitado" xfId="108" builtinId="9" hidden="1"/>
    <cellStyle name="Hipervínculo visitado" xfId="18" builtinId="9" hidden="1"/>
    <cellStyle name="Hipervínculo visitado" xfId="12" builtinId="9" hidden="1"/>
    <cellStyle name="Hipervínculo visitado" xfId="29" builtinId="9" hidden="1"/>
    <cellStyle name="Hipervínculo visitado" xfId="8" builtinId="9" hidden="1"/>
    <cellStyle name="Hipervínculo visitado" xfId="107" builtinId="9" hidden="1"/>
    <cellStyle name="Hipervínculo visitado" xfId="70" builtinId="9" hidden="1"/>
    <cellStyle name="Hipervínculo visitado" xfId="85" builtinId="9" hidden="1"/>
    <cellStyle name="Hipervínculo visitado" xfId="31" builtinId="9" hidden="1"/>
    <cellStyle name="Hipervínculo visitado" xfId="34" builtinId="9" hidden="1"/>
    <cellStyle name="Hipervínculo visitado" xfId="13" builtinId="9" hidden="1"/>
    <cellStyle name="Hipervínculo visitado" xfId="10" builtinId="9" hidden="1"/>
    <cellStyle name="Hipervínculo visitado" xfId="27" builtinId="9" hidden="1"/>
    <cellStyle name="Hipervínculo visitado" xfId="95" builtinId="9" hidden="1"/>
    <cellStyle name="Hipervínculo visitado" xfId="86" builtinId="9" hidden="1"/>
    <cellStyle name="Hipervínculo visitado" xfId="47" builtinId="9" hidden="1"/>
    <cellStyle name="Hipervínculo visitado" xfId="50" builtinId="9" hidden="1"/>
    <cellStyle name="Hipervínculo visitado" xfId="35" builtinId="9" hidden="1"/>
    <cellStyle name="Hipervínculo visitado" xfId="3" builtinId="9" hidden="1"/>
    <cellStyle name="Hipervínculo visitado" xfId="41" builtinId="9" hidden="1"/>
    <cellStyle name="Hipervínculo visitado" xfId="83" builtinId="9" hidden="1"/>
    <cellStyle name="Hipervínculo visitado" xfId="9" builtinId="9" hidden="1"/>
    <cellStyle name="Hipervínculo visitado" xfId="109" builtinId="9" hidden="1"/>
    <cellStyle name="Hipervínculo visitado" xfId="75" builtinId="9" hidden="1"/>
    <cellStyle name="Hipervínculo visitado" xfId="90" builtinId="9" hidden="1"/>
    <cellStyle name="Hipervínculo visitado" xfId="11" builtinId="9" hidden="1"/>
    <cellStyle name="Hipervínculo visitado" xfId="26" builtinId="9" hidden="1"/>
    <cellStyle name="Hipervínculo visitado" xfId="45" builtinId="9" hidden="1"/>
    <cellStyle name="Hipervínculo visitado" xfId="2" builtinId="9" hidden="1"/>
    <cellStyle name="Hipervínculo visitado" xfId="73" builtinId="9" hidden="1"/>
    <cellStyle name="Hipervínculo visitado" xfId="100" builtinId="9" hidden="1"/>
    <cellStyle name="Hipervínculo visitado" xfId="23" builtinId="9" hidden="1"/>
    <cellStyle name="Hipervínculo visitado" xfId="82" builtinId="9" hidden="1"/>
    <cellStyle name="Hipervínculo visitado" xfId="89" builtinId="9" hidden="1"/>
    <cellStyle name="Hipervínculo visitado" xfId="40" builtinId="9" hidden="1"/>
    <cellStyle name="Hipervínculo visitado" xfId="62" builtinId="9" hidden="1"/>
    <cellStyle name="Hipervínculo visitado" xfId="44" builtinId="9" hidden="1"/>
    <cellStyle name="Hipervínculo visitado" xfId="49" builtinId="9" hidden="1"/>
    <cellStyle name="Hipervínculo visitado" xfId="69" builtinId="9" hidden="1"/>
    <cellStyle name="Hipervínculo visitado" xfId="42" builtinId="9" hidden="1"/>
    <cellStyle name="Hipervínculo visitado" xfId="91" builtinId="9" hidden="1"/>
    <cellStyle name="Hipervínculo visitado" xfId="30" builtinId="9" hidden="1"/>
    <cellStyle name="Hyperlink" xfId="113" xr:uid="{00000000-000B-0000-0000-000008000000}"/>
    <cellStyle name="Millares" xfId="112" builtinId="3"/>
    <cellStyle name="Millares [0] 2" xfId="6" xr:uid="{00000000-0005-0000-0000-000065000000}"/>
    <cellStyle name="Millares [0] 2 2" xfId="53" xr:uid="{00000000-0005-0000-0000-000066000000}"/>
    <cellStyle name="Millares [0] 2 2 2" xfId="58" xr:uid="{00000000-0005-0000-0000-000067000000}"/>
    <cellStyle name="Millares [0] 2 3" xfId="56" xr:uid="{00000000-0005-0000-0000-000068000000}"/>
    <cellStyle name="Millares [0] 3" xfId="55" xr:uid="{00000000-0005-0000-0000-000069000000}"/>
    <cellStyle name="Millares [0] 3 2" xfId="60" xr:uid="{00000000-0005-0000-0000-00006A000000}"/>
    <cellStyle name="Moneda [0] 2" xfId="7" xr:uid="{00000000-0005-0000-0000-00006B000000}"/>
    <cellStyle name="Moneda [0] 2 2" xfId="54" xr:uid="{00000000-0005-0000-0000-00006C000000}"/>
    <cellStyle name="Moneda [0] 2 2 2" xfId="59" xr:uid="{00000000-0005-0000-0000-00006D000000}"/>
    <cellStyle name="Moneda [0] 2 3" xfId="57" xr:uid="{00000000-0005-0000-0000-00006E000000}"/>
    <cellStyle name="Normal" xfId="0" builtinId="0"/>
    <cellStyle name="Normal 2" xfId="4" xr:uid="{00000000-0005-0000-0000-000070000000}"/>
    <cellStyle name="Porcentaje 2" xfId="5" xr:uid="{00000000-0005-0000-0000-000071000000}"/>
  </cellStyles>
  <dxfs count="0"/>
  <tableStyles count="0" defaultTableStyle="TableStyleMedium2" defaultPivotStyle="PivotStyleLight16"/>
  <colors>
    <mruColors>
      <color rgb="FFFFC657"/>
      <color rgb="FF0F192C"/>
      <color rgb="FF0F18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137160</xdr:colOff>
          <xdr:row>1</xdr:row>
          <xdr:rowOff>152400</xdr:rowOff>
        </xdr:from>
        <xdr:to>
          <xdr:col>10</xdr:col>
          <xdr:colOff>480060</xdr:colOff>
          <xdr:row>2</xdr:row>
          <xdr:rowOff>213360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232833</xdr:colOff>
      <xdr:row>0</xdr:row>
      <xdr:rowOff>0</xdr:rowOff>
    </xdr:from>
    <xdr:to>
      <xdr:col>8</xdr:col>
      <xdr:colOff>870711</xdr:colOff>
      <xdr:row>2</xdr:row>
      <xdr:rowOff>135466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0766" y="0"/>
          <a:ext cx="1543812" cy="7789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205740</xdr:colOff>
          <xdr:row>1</xdr:row>
          <xdr:rowOff>213360</xdr:rowOff>
        </xdr:from>
        <xdr:to>
          <xdr:col>13</xdr:col>
          <xdr:colOff>251460</xdr:colOff>
          <xdr:row>3</xdr:row>
          <xdr:rowOff>129540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12699</xdr:colOff>
      <xdr:row>0</xdr:row>
      <xdr:rowOff>8467</xdr:rowOff>
    </xdr:from>
    <xdr:to>
      <xdr:col>1</xdr:col>
      <xdr:colOff>794464</xdr:colOff>
      <xdr:row>2</xdr:row>
      <xdr:rowOff>127000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99" y="8467"/>
          <a:ext cx="1505665" cy="762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139</xdr:row>
      <xdr:rowOff>0</xdr:rowOff>
    </xdr:from>
    <xdr:ext cx="276225" cy="2952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048000" y="23406100"/>
          <a:ext cx="276225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138</xdr:row>
      <xdr:rowOff>0</xdr:rowOff>
    </xdr:from>
    <xdr:ext cx="276225" cy="2952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86000" y="23241000"/>
          <a:ext cx="276225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twoCellAnchor editAs="oneCell">
    <xdr:from>
      <xdr:col>5</xdr:col>
      <xdr:colOff>143932</xdr:colOff>
      <xdr:row>0</xdr:row>
      <xdr:rowOff>140546</xdr:rowOff>
    </xdr:from>
    <xdr:to>
      <xdr:col>7</xdr:col>
      <xdr:colOff>315382</xdr:colOff>
      <xdr:row>2</xdr:row>
      <xdr:rowOff>41697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53932" y="140546"/>
          <a:ext cx="1390650" cy="69701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455083</xdr:colOff>
      <xdr:row>0</xdr:row>
      <xdr:rowOff>129117</xdr:rowOff>
    </xdr:from>
    <xdr:to>
      <xdr:col>16</xdr:col>
      <xdr:colOff>283633</xdr:colOff>
      <xdr:row>5</xdr:row>
      <xdr:rowOff>72602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87216" y="129117"/>
          <a:ext cx="1403350" cy="70548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aloruf.cl_1" connectionId="2" xr16:uid="{00000000-0016-0000-0400-000001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aloruf.cl" backgroundRefresh="0" refreshOnLoad="1" connectionId="1" xr16:uid="{00000000-0016-0000-04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www.portalinmobiliario.com/MLC-2847948208-mantagua-quintero-_JM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www.portalinmobiliario.com/MLC-1536816073-casa-nueva-en-condominio-de-mantagua-concon-_JM" TargetMode="External"/><Relationship Id="rId1" Type="http://schemas.openxmlformats.org/officeDocument/2006/relationships/hyperlink" Target="https://www.portalinmobiliario.com/MLC-2868770028-gran-casa-en-mantagua-condominio-dona-blanca-iv-_JM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portalinmobiliario.com/MLC-1583325389-casa-con-vista-panoramica-y-terreno-de-2500-m-_J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657"/>
  </sheetPr>
  <dimension ref="A1:P997"/>
  <sheetViews>
    <sheetView tabSelected="1" zoomScale="115" zoomScaleNormal="115" zoomScaleSheetLayoutView="150" zoomScalePageLayoutView="200" workbookViewId="0">
      <selection activeCell="B5" sqref="B5:F5"/>
    </sheetView>
  </sheetViews>
  <sheetFormatPr baseColWidth="10" defaultColWidth="14.44140625" defaultRowHeight="15" customHeight="1" x14ac:dyDescent="0.25"/>
  <cols>
    <col min="1" max="1" width="25" style="23" customWidth="1"/>
    <col min="2" max="2" width="4.6640625" style="23" bestFit="1" customWidth="1"/>
    <col min="3" max="3" width="5.6640625" style="23" bestFit="1" customWidth="1"/>
    <col min="4" max="4" width="4.44140625" style="23" bestFit="1" customWidth="1"/>
    <col min="5" max="5" width="6.44140625" style="23" customWidth="1"/>
    <col min="6" max="6" width="11.88671875" style="23" customWidth="1"/>
    <col min="7" max="7" width="16.5546875" style="23" customWidth="1"/>
    <col min="8" max="8" width="11.88671875" style="23" customWidth="1"/>
    <col min="9" max="9" width="19.109375" style="23" customWidth="1"/>
    <col min="10" max="16" width="10" style="23" customWidth="1"/>
    <col min="17" max="16384" width="14.44140625" style="23"/>
  </cols>
  <sheetData>
    <row r="1" spans="1:16" ht="24.9" customHeight="1" x14ac:dyDescent="0.4">
      <c r="A1" s="205" t="s">
        <v>0</v>
      </c>
      <c r="B1" s="205"/>
      <c r="C1" s="205"/>
      <c r="D1" s="205"/>
      <c r="E1" s="206"/>
      <c r="F1" s="206"/>
      <c r="G1" s="206"/>
      <c r="H1" s="10"/>
      <c r="I1" s="10"/>
      <c r="J1" s="10"/>
      <c r="K1" s="10"/>
      <c r="L1" s="10"/>
      <c r="M1" s="10"/>
      <c r="N1" s="10"/>
      <c r="O1" s="10"/>
      <c r="P1" s="10"/>
    </row>
    <row r="2" spans="1:16" ht="24.9" customHeight="1" x14ac:dyDescent="0.25">
      <c r="A2" s="223"/>
      <c r="B2" s="223"/>
      <c r="C2" s="223"/>
      <c r="D2" s="223"/>
      <c r="E2" s="223"/>
      <c r="F2" s="223"/>
      <c r="G2" s="223"/>
      <c r="H2" s="139"/>
      <c r="I2" s="139"/>
      <c r="J2" s="10"/>
      <c r="K2" s="10"/>
      <c r="L2" s="10"/>
      <c r="M2" s="10"/>
      <c r="N2" s="10"/>
      <c r="O2" s="10"/>
      <c r="P2" s="10"/>
    </row>
    <row r="3" spans="1:16" ht="20.100000000000001" customHeight="1" x14ac:dyDescent="0.25">
      <c r="A3" s="140" t="s">
        <v>1</v>
      </c>
      <c r="B3" s="220" t="s">
        <v>129</v>
      </c>
      <c r="C3" s="220"/>
      <c r="D3" s="220"/>
      <c r="E3" s="220"/>
      <c r="F3" s="220"/>
      <c r="G3" s="10"/>
      <c r="H3" s="10"/>
      <c r="I3" s="10"/>
      <c r="J3" s="10"/>
      <c r="K3" s="10"/>
      <c r="L3" s="10"/>
      <c r="M3" s="10"/>
      <c r="N3" s="10"/>
      <c r="O3" s="10"/>
      <c r="P3" s="10"/>
    </row>
    <row r="4" spans="1:16" ht="13.8" x14ac:dyDescent="0.25">
      <c r="A4" s="141" t="s">
        <v>2</v>
      </c>
      <c r="B4" s="221">
        <v>46041</v>
      </c>
      <c r="C4" s="222"/>
      <c r="D4" s="222"/>
      <c r="E4" s="222"/>
      <c r="F4" s="222"/>
      <c r="G4" s="24"/>
      <c r="H4" s="142" t="s">
        <v>3</v>
      </c>
      <c r="I4" s="36">
        <v>20</v>
      </c>
      <c r="J4" s="10"/>
      <c r="K4" s="10"/>
      <c r="L4" s="10"/>
      <c r="M4" s="10"/>
      <c r="N4" s="10"/>
      <c r="O4" s="10"/>
      <c r="P4" s="10"/>
    </row>
    <row r="5" spans="1:16" ht="13.8" x14ac:dyDescent="0.25">
      <c r="A5" s="141" t="s">
        <v>4</v>
      </c>
      <c r="B5" s="222" t="s">
        <v>130</v>
      </c>
      <c r="C5" s="222"/>
      <c r="D5" s="222"/>
      <c r="E5" s="222"/>
      <c r="F5" s="222"/>
      <c r="G5" s="24"/>
      <c r="H5" s="142" t="s">
        <v>5</v>
      </c>
      <c r="I5" s="36">
        <v>15</v>
      </c>
      <c r="J5" s="10"/>
      <c r="K5" s="10"/>
      <c r="L5" s="10"/>
      <c r="M5" s="10"/>
      <c r="N5" s="10"/>
      <c r="O5" s="10"/>
      <c r="P5" s="10"/>
    </row>
    <row r="6" spans="1:16" ht="13.8" x14ac:dyDescent="0.25">
      <c r="A6" s="141" t="s">
        <v>6</v>
      </c>
      <c r="B6" s="222" t="s">
        <v>7</v>
      </c>
      <c r="C6" s="222"/>
      <c r="D6" s="222"/>
      <c r="E6" s="222"/>
      <c r="F6" s="222"/>
      <c r="G6" s="24"/>
      <c r="H6" s="142" t="s">
        <v>8</v>
      </c>
      <c r="I6" s="36" t="s">
        <v>9</v>
      </c>
      <c r="J6" s="10"/>
      <c r="K6" s="10"/>
      <c r="L6" s="10"/>
      <c r="M6" s="10"/>
      <c r="N6" s="10"/>
      <c r="O6" s="10"/>
      <c r="P6" s="10"/>
    </row>
    <row r="7" spans="1:16" ht="13.8" x14ac:dyDescent="0.25">
      <c r="A7" s="141" t="s">
        <v>10</v>
      </c>
      <c r="B7" s="222" t="s">
        <v>11</v>
      </c>
      <c r="C7" s="222"/>
      <c r="D7" s="222"/>
      <c r="E7" s="222"/>
      <c r="F7" s="222"/>
      <c r="G7" s="143"/>
      <c r="H7" s="144"/>
      <c r="I7" s="143"/>
      <c r="J7" s="10"/>
      <c r="K7" s="10"/>
      <c r="L7" s="10"/>
      <c r="M7" s="10"/>
      <c r="N7" s="10"/>
      <c r="O7" s="10"/>
      <c r="P7" s="10"/>
    </row>
    <row r="8" spans="1:16" ht="10.5" customHeight="1" x14ac:dyDescent="0.25">
      <c r="A8" s="9"/>
      <c r="B8" s="9"/>
      <c r="C8" s="9"/>
      <c r="D8" s="9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</row>
    <row r="9" spans="1:16" ht="13.8" x14ac:dyDescent="0.25">
      <c r="A9" s="10"/>
      <c r="B9" s="145" t="s">
        <v>12</v>
      </c>
      <c r="C9" s="145" t="s">
        <v>13</v>
      </c>
      <c r="D9" s="145" t="s">
        <v>14</v>
      </c>
      <c r="E9" s="145" t="s">
        <v>15</v>
      </c>
      <c r="F9" s="145" t="s">
        <v>16</v>
      </c>
      <c r="G9" s="145" t="s">
        <v>17</v>
      </c>
      <c r="H9" s="145" t="s">
        <v>18</v>
      </c>
      <c r="I9" s="145" t="s">
        <v>19</v>
      </c>
      <c r="J9" s="10"/>
      <c r="K9" s="10"/>
      <c r="L9" s="10"/>
      <c r="M9" s="10"/>
      <c r="N9" s="10"/>
      <c r="O9" s="10"/>
      <c r="P9" s="10"/>
    </row>
    <row r="10" spans="1:16" ht="13.8" x14ac:dyDescent="0.25">
      <c r="A10" s="17" t="s">
        <v>20</v>
      </c>
      <c r="B10" s="58" t="s">
        <v>21</v>
      </c>
      <c r="C10" s="58" t="s">
        <v>21</v>
      </c>
      <c r="D10" s="58" t="s">
        <v>21</v>
      </c>
      <c r="E10" s="187" t="s">
        <v>22</v>
      </c>
      <c r="F10" s="146">
        <v>6</v>
      </c>
      <c r="G10" s="34">
        <v>1154</v>
      </c>
      <c r="H10" s="35">
        <f t="shared" ref="H10" si="0">+F10*0.95</f>
        <v>5.6999999999999993</v>
      </c>
      <c r="I10" s="34">
        <v>1096</v>
      </c>
      <c r="J10" s="10"/>
      <c r="K10" s="10"/>
      <c r="L10" s="10"/>
      <c r="M10" s="10"/>
      <c r="N10" s="10"/>
      <c r="O10" s="10"/>
      <c r="P10" s="10"/>
    </row>
    <row r="11" spans="1:16" ht="13.8" x14ac:dyDescent="0.25">
      <c r="A11" s="17" t="s">
        <v>23</v>
      </c>
      <c r="B11" s="38" t="s">
        <v>24</v>
      </c>
      <c r="C11" s="38">
        <v>3</v>
      </c>
      <c r="D11" s="38">
        <v>20</v>
      </c>
      <c r="E11" s="38">
        <v>146</v>
      </c>
      <c r="F11" s="146">
        <v>25</v>
      </c>
      <c r="G11" s="34">
        <f>IFERROR(E11*F11,0)</f>
        <v>3650</v>
      </c>
      <c r="H11" s="35">
        <f>IFERROR(F11*0.95,0)</f>
        <v>23.75</v>
      </c>
      <c r="I11" s="34">
        <f>IFERROR(H11*E11,0)</f>
        <v>3467.5</v>
      </c>
      <c r="J11" s="10"/>
      <c r="K11" s="10"/>
      <c r="L11" s="10"/>
      <c r="M11" s="10"/>
      <c r="N11" s="10"/>
      <c r="O11" s="10"/>
      <c r="P11" s="10"/>
    </row>
    <row r="12" spans="1:16" ht="13.8" x14ac:dyDescent="0.25">
      <c r="A12" s="17"/>
      <c r="B12" s="38"/>
      <c r="C12" s="38"/>
      <c r="D12" s="38"/>
      <c r="E12" s="38"/>
      <c r="F12" s="146">
        <f>IFERROR(INDEX(MAT_AÑO,MATCH(B12,LETRAS_1,0),MATCH(D12,mat_año_2,0))*(INDEX(MAT_CALI,MATCH(B12,LETRAS_2,0),MATCH(C12,NUM_1,0))),0)</f>
        <v>0</v>
      </c>
      <c r="G12" s="34">
        <f t="shared" ref="G12" si="1">IFERROR(E12*F12,0)</f>
        <v>0</v>
      </c>
      <c r="H12" s="35">
        <f t="shared" ref="H12" si="2">IFERROR(F12*0.95,0)</f>
        <v>0</v>
      </c>
      <c r="I12" s="34">
        <f t="shared" ref="I12" si="3">IFERROR(H12*E12,0)</f>
        <v>0</v>
      </c>
      <c r="J12" s="10"/>
      <c r="K12" s="10"/>
      <c r="L12" s="10"/>
      <c r="M12" s="10"/>
      <c r="N12" s="10"/>
      <c r="O12" s="10"/>
      <c r="P12" s="10"/>
    </row>
    <row r="13" spans="1:16" ht="14.4" thickBot="1" x14ac:dyDescent="0.3">
      <c r="A13" s="17"/>
      <c r="B13" s="38"/>
      <c r="C13" s="38"/>
      <c r="D13" s="38"/>
      <c r="E13" s="38"/>
      <c r="F13" s="146">
        <f>IFERROR(INDEX(MAT_AÑO,MATCH(B13,LETRAS_1,0),MATCH(D13,mat_año_2,0))*(INDEX(MAT_CALI,MATCH(B13,LETRAS_2,0),MATCH(C13,NUM_1,0))),0)</f>
        <v>0</v>
      </c>
      <c r="G13" s="34">
        <v>0</v>
      </c>
      <c r="H13" s="35">
        <f t="shared" ref="H13:H14" si="4">IFERROR(F13*0.95,0)</f>
        <v>0</v>
      </c>
      <c r="I13" s="34">
        <f t="shared" ref="I13:I14" si="5">IFERROR(H13*E13,0)</f>
        <v>0</v>
      </c>
      <c r="J13" s="10"/>
      <c r="K13" s="10"/>
      <c r="L13" s="10"/>
      <c r="M13" s="10"/>
      <c r="N13" s="10"/>
      <c r="O13" s="10"/>
      <c r="P13" s="10"/>
    </row>
    <row r="14" spans="1:16" ht="14.4" thickBot="1" x14ac:dyDescent="0.3">
      <c r="A14" s="20" t="s">
        <v>25</v>
      </c>
      <c r="B14" s="72"/>
      <c r="C14" s="72"/>
      <c r="D14" s="72"/>
      <c r="E14" s="73"/>
      <c r="F14" s="98">
        <v>0</v>
      </c>
      <c r="G14" s="34">
        <f t="shared" ref="G14" si="6">IFERROR(E14*F14,0)</f>
        <v>0</v>
      </c>
      <c r="H14" s="35">
        <f t="shared" si="4"/>
        <v>0</v>
      </c>
      <c r="I14" s="34">
        <f t="shared" si="5"/>
        <v>0</v>
      </c>
      <c r="J14" s="10"/>
      <c r="K14" s="10"/>
      <c r="L14" s="10"/>
      <c r="M14" s="10"/>
      <c r="N14" s="10"/>
      <c r="O14" s="10"/>
      <c r="P14" s="10"/>
    </row>
    <row r="15" spans="1:16" ht="13.8" x14ac:dyDescent="0.25">
      <c r="A15" s="39" t="s">
        <v>26</v>
      </c>
      <c r="B15" s="207"/>
      <c r="C15" s="208"/>
      <c r="D15" s="208"/>
      <c r="E15" s="56"/>
      <c r="F15" s="99">
        <f>SUM(F10:F13)</f>
        <v>31</v>
      </c>
      <c r="G15" s="78">
        <f>SUM(G10:G14)</f>
        <v>4804</v>
      </c>
      <c r="H15" s="14"/>
      <c r="I15" s="18">
        <f>+SUM(I10:I14)</f>
        <v>4563.5</v>
      </c>
      <c r="J15" s="10"/>
      <c r="K15" s="10"/>
      <c r="L15" s="10"/>
      <c r="M15" s="10"/>
      <c r="N15" s="10"/>
      <c r="O15" s="10"/>
      <c r="P15" s="10"/>
    </row>
    <row r="16" spans="1:16" ht="12" customHeight="1" thickBot="1" x14ac:dyDescent="0.3">
      <c r="A16" s="19" t="s">
        <v>27</v>
      </c>
      <c r="B16" s="209">
        <v>39349</v>
      </c>
      <c r="C16" s="210"/>
      <c r="D16" s="40"/>
      <c r="E16" s="41"/>
      <c r="F16" s="26"/>
      <c r="G16" s="79">
        <f>G15*B16</f>
        <v>189032596</v>
      </c>
      <c r="H16" s="15"/>
      <c r="I16" s="16">
        <f>I15*B16</f>
        <v>179569161.5</v>
      </c>
      <c r="J16" s="10"/>
      <c r="K16" s="10"/>
      <c r="L16" s="10"/>
      <c r="M16" s="34"/>
      <c r="N16" s="10"/>
      <c r="O16" s="10"/>
      <c r="P16" s="10"/>
    </row>
    <row r="17" spans="1:16" ht="10.5" customHeight="1" x14ac:dyDescent="0.25">
      <c r="A17" s="143"/>
      <c r="B17" s="11"/>
      <c r="C17" s="11"/>
      <c r="D17" s="11"/>
      <c r="E17" s="147"/>
      <c r="F17" s="10"/>
      <c r="G17" s="147"/>
      <c r="H17" s="10"/>
      <c r="I17" s="147"/>
      <c r="J17" s="10"/>
      <c r="K17" s="10"/>
      <c r="L17" s="10"/>
      <c r="M17" s="10"/>
      <c r="N17" s="10"/>
      <c r="O17" s="10"/>
      <c r="P17" s="10"/>
    </row>
    <row r="18" spans="1:16" ht="13.8" x14ac:dyDescent="0.25">
      <c r="A18" s="11" t="s">
        <v>28</v>
      </c>
      <c r="B18" s="74"/>
      <c r="C18" s="74"/>
      <c r="D18" s="75" t="s">
        <v>29</v>
      </c>
      <c r="E18" s="74"/>
      <c r="F18" s="74"/>
      <c r="G18" s="76" t="s">
        <v>30</v>
      </c>
      <c r="H18" s="74"/>
      <c r="I18" s="76" t="s">
        <v>31</v>
      </c>
      <c r="J18" s="10"/>
      <c r="K18" s="10"/>
      <c r="L18" s="10"/>
      <c r="M18" s="10"/>
      <c r="N18" s="10"/>
      <c r="O18" s="10"/>
      <c r="P18" s="10"/>
    </row>
    <row r="19" spans="1:16" ht="11.1" customHeight="1" x14ac:dyDescent="0.25">
      <c r="A19" s="11" t="s">
        <v>32</v>
      </c>
      <c r="B19" s="12"/>
      <c r="C19" s="12"/>
      <c r="D19" s="12"/>
      <c r="E19" s="21">
        <v>0.04</v>
      </c>
      <c r="F19" s="21"/>
      <c r="G19" s="22">
        <f t="shared" ref="G19:G24" si="7">+$G$16*E19/12</f>
        <v>630108.65333333332</v>
      </c>
      <c r="H19" s="22"/>
      <c r="I19" s="22">
        <f t="shared" ref="I19:I24" si="8">+$I$16*E19/12</f>
        <v>598563.8716666667</v>
      </c>
      <c r="J19" s="10"/>
      <c r="K19" s="10"/>
      <c r="L19" s="10"/>
      <c r="M19" s="10"/>
      <c r="N19" s="10"/>
      <c r="O19" s="10"/>
      <c r="P19" s="10"/>
    </row>
    <row r="20" spans="1:16" ht="11.1" customHeight="1" x14ac:dyDescent="0.25">
      <c r="A20" s="12"/>
      <c r="B20" s="198"/>
      <c r="C20" s="198"/>
      <c r="D20" s="198"/>
      <c r="E20" s="199">
        <v>4.4999999999999998E-2</v>
      </c>
      <c r="F20" s="199"/>
      <c r="G20" s="80">
        <f t="shared" si="7"/>
        <v>708872.23499999999</v>
      </c>
      <c r="H20" s="80"/>
      <c r="I20" s="80">
        <f t="shared" si="8"/>
        <v>673384.35562499997</v>
      </c>
      <c r="J20" s="10"/>
      <c r="K20" s="10"/>
      <c r="L20" s="10"/>
      <c r="M20" s="10"/>
      <c r="N20" s="10"/>
      <c r="O20" s="10"/>
      <c r="P20" s="10"/>
    </row>
    <row r="21" spans="1:16" ht="11.1" customHeight="1" x14ac:dyDescent="0.25">
      <c r="A21" s="12"/>
      <c r="B21" s="198"/>
      <c r="C21" s="198"/>
      <c r="D21" s="198"/>
      <c r="E21" s="199">
        <v>0.05</v>
      </c>
      <c r="F21" s="199"/>
      <c r="G21" s="80">
        <f t="shared" si="7"/>
        <v>787635.81666666677</v>
      </c>
      <c r="H21" s="80"/>
      <c r="I21" s="80">
        <f t="shared" si="8"/>
        <v>748204.83958333347</v>
      </c>
      <c r="J21" s="10"/>
      <c r="K21" s="10"/>
      <c r="L21" s="10"/>
      <c r="M21" s="10"/>
      <c r="N21" s="10"/>
      <c r="O21" s="10"/>
      <c r="P21" s="10"/>
    </row>
    <row r="22" spans="1:16" ht="11.1" customHeight="1" x14ac:dyDescent="0.25">
      <c r="A22" s="12"/>
      <c r="B22" s="196"/>
      <c r="C22" s="196"/>
      <c r="D22" s="196"/>
      <c r="E22" s="196">
        <v>5.5E-2</v>
      </c>
      <c r="F22" s="196"/>
      <c r="G22" s="197">
        <f t="shared" si="7"/>
        <v>866399.39833333332</v>
      </c>
      <c r="H22" s="197"/>
      <c r="I22" s="197">
        <f t="shared" si="8"/>
        <v>823025.32354166673</v>
      </c>
      <c r="J22" s="10"/>
      <c r="K22" s="10"/>
      <c r="L22" s="10"/>
      <c r="M22" s="10"/>
      <c r="N22" s="10"/>
      <c r="O22" s="10"/>
      <c r="P22" s="10"/>
    </row>
    <row r="23" spans="1:16" ht="11.1" customHeight="1" x14ac:dyDescent="0.25">
      <c r="A23" s="12"/>
      <c r="B23" s="196"/>
      <c r="C23" s="196"/>
      <c r="D23" s="196"/>
      <c r="E23" s="196">
        <v>0.06</v>
      </c>
      <c r="F23" s="196"/>
      <c r="G23" s="197">
        <f t="shared" si="7"/>
        <v>945162.98</v>
      </c>
      <c r="H23" s="197"/>
      <c r="I23" s="197">
        <f t="shared" si="8"/>
        <v>897845.8075</v>
      </c>
      <c r="J23" s="10"/>
      <c r="K23" s="10"/>
      <c r="L23" s="10"/>
      <c r="M23" s="10"/>
      <c r="N23" s="10"/>
      <c r="O23" s="10"/>
      <c r="P23" s="10"/>
    </row>
    <row r="24" spans="1:16" ht="11.1" customHeight="1" x14ac:dyDescent="0.25">
      <c r="A24" s="12"/>
      <c r="B24" s="12"/>
      <c r="C24" s="12"/>
      <c r="D24" s="12"/>
      <c r="E24" s="21">
        <v>6.5000000000000002E-2</v>
      </c>
      <c r="F24" s="21"/>
      <c r="G24" s="22">
        <f t="shared" si="7"/>
        <v>1023926.5616666666</v>
      </c>
      <c r="H24" s="33"/>
      <c r="I24" s="22">
        <f t="shared" si="8"/>
        <v>972666.29145833338</v>
      </c>
      <c r="J24" s="10"/>
      <c r="K24" s="10"/>
      <c r="L24" s="10"/>
      <c r="M24" s="10"/>
      <c r="N24" s="10"/>
      <c r="O24" s="10"/>
      <c r="P24" s="10"/>
    </row>
    <row r="25" spans="1:16" ht="5.0999999999999996" customHeight="1" thickBot="1" x14ac:dyDescent="0.3">
      <c r="A25" s="10"/>
      <c r="B25" s="10"/>
      <c r="C25" s="10"/>
      <c r="D25" s="10"/>
      <c r="E25" s="10"/>
      <c r="F25" s="10"/>
      <c r="G25" s="148"/>
      <c r="H25" s="10"/>
      <c r="I25" s="148"/>
      <c r="J25" s="10"/>
      <c r="K25" s="10"/>
      <c r="L25" s="10"/>
      <c r="M25" s="10"/>
      <c r="N25" s="10"/>
      <c r="O25" s="10"/>
      <c r="P25" s="10"/>
    </row>
    <row r="26" spans="1:16" s="24" customFormat="1" ht="23.25" customHeight="1" x14ac:dyDescent="0.25">
      <c r="A26" s="203" t="s">
        <v>33</v>
      </c>
      <c r="B26" s="211" t="s">
        <v>34</v>
      </c>
      <c r="C26" s="212"/>
      <c r="D26" s="212"/>
      <c r="E26" s="212"/>
      <c r="F26" s="212"/>
      <c r="G26" s="212"/>
      <c r="H26" s="212"/>
      <c r="I26" s="213"/>
      <c r="J26" s="149"/>
      <c r="K26" s="149"/>
      <c r="L26" s="149"/>
      <c r="M26" s="149"/>
      <c r="N26" s="149"/>
      <c r="O26" s="149"/>
      <c r="P26" s="149"/>
    </row>
    <row r="27" spans="1:16" s="24" customFormat="1" ht="10.5" customHeight="1" x14ac:dyDescent="0.25">
      <c r="A27" s="204"/>
      <c r="B27" s="214"/>
      <c r="C27" s="215"/>
      <c r="D27" s="215"/>
      <c r="E27" s="215"/>
      <c r="F27" s="215"/>
      <c r="G27" s="215"/>
      <c r="H27" s="215"/>
      <c r="I27" s="216"/>
      <c r="J27" s="149"/>
      <c r="K27" s="149"/>
      <c r="L27" s="149"/>
      <c r="M27" s="149"/>
      <c r="N27" s="149"/>
      <c r="O27" s="149"/>
      <c r="P27" s="149"/>
    </row>
    <row r="28" spans="1:16" s="24" customFormat="1" ht="3" customHeight="1" thickBot="1" x14ac:dyDescent="0.3">
      <c r="A28" s="204"/>
      <c r="B28" s="217"/>
      <c r="C28" s="218"/>
      <c r="D28" s="218"/>
      <c r="E28" s="218"/>
      <c r="F28" s="218"/>
      <c r="G28" s="218"/>
      <c r="H28" s="218"/>
      <c r="I28" s="219"/>
      <c r="J28" s="149"/>
      <c r="K28" s="149"/>
      <c r="L28" s="149"/>
      <c r="M28" s="149"/>
      <c r="N28" s="149"/>
      <c r="O28" s="149"/>
      <c r="P28" s="149"/>
    </row>
    <row r="29" spans="1:16" ht="5.0999999999999996" customHeight="1" thickBot="1" x14ac:dyDescent="0.3">
      <c r="A29" s="10"/>
      <c r="B29" s="10"/>
      <c r="C29" s="10"/>
      <c r="D29" s="10"/>
      <c r="E29" s="10"/>
      <c r="F29" s="10"/>
      <c r="G29" s="148"/>
      <c r="H29" s="10"/>
      <c r="I29" s="148"/>
      <c r="J29" s="10"/>
      <c r="K29" s="10"/>
      <c r="L29" s="10"/>
      <c r="M29" s="10"/>
      <c r="N29" s="10"/>
      <c r="O29" s="10"/>
      <c r="P29" s="10"/>
    </row>
    <row r="30" spans="1:16" s="24" customFormat="1" ht="33.75" customHeight="1" x14ac:dyDescent="0.25">
      <c r="A30" s="150" t="s">
        <v>35</v>
      </c>
      <c r="B30" s="200" t="s">
        <v>36</v>
      </c>
      <c r="C30" s="201"/>
      <c r="D30" s="201"/>
      <c r="E30" s="201"/>
      <c r="F30" s="201"/>
      <c r="G30" s="201"/>
      <c r="H30" s="201"/>
      <c r="I30" s="202"/>
      <c r="J30" s="149"/>
      <c r="K30" s="149"/>
      <c r="L30" s="149"/>
      <c r="M30" s="149"/>
      <c r="N30" s="149"/>
      <c r="O30" s="149"/>
      <c r="P30" s="149"/>
    </row>
    <row r="31" spans="1:16" ht="14.1" customHeight="1" thickBot="1" x14ac:dyDescent="0.3">
      <c r="A31" s="10"/>
      <c r="B31" s="10"/>
      <c r="C31" s="10"/>
      <c r="D31" s="10"/>
      <c r="E31" s="151"/>
      <c r="F31" s="151"/>
      <c r="G31" s="10"/>
      <c r="H31" s="152" t="s">
        <v>37</v>
      </c>
      <c r="I31" s="152" t="s">
        <v>38</v>
      </c>
      <c r="J31" s="10"/>
      <c r="K31" s="10"/>
      <c r="L31" s="10"/>
      <c r="M31" s="10"/>
      <c r="N31" s="10"/>
      <c r="O31" s="10"/>
      <c r="P31" s="10"/>
    </row>
    <row r="32" spans="1:16" ht="14.1" customHeight="1" thickBot="1" x14ac:dyDescent="0.3">
      <c r="A32" s="77" t="s">
        <v>39</v>
      </c>
      <c r="B32" s="77"/>
      <c r="C32" s="77"/>
      <c r="D32" s="77"/>
      <c r="E32" s="77"/>
      <c r="F32" s="77"/>
      <c r="G32" s="153"/>
      <c r="H32" s="194"/>
      <c r="I32" s="37">
        <v>4400</v>
      </c>
      <c r="J32" s="10"/>
      <c r="K32" s="10"/>
      <c r="L32" s="10"/>
      <c r="M32" s="10"/>
      <c r="N32" s="10"/>
      <c r="O32" s="10"/>
      <c r="P32" s="10"/>
    </row>
    <row r="33" spans="1:16" ht="10.5" customHeight="1" x14ac:dyDescent="0.25">
      <c r="A33" s="13" t="s">
        <v>40</v>
      </c>
      <c r="B33" s="13"/>
      <c r="C33" s="13"/>
      <c r="D33" s="13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</row>
    <row r="34" spans="1:16" ht="10.5" customHeight="1" x14ac:dyDescent="0.25">
      <c r="A34" s="13" t="s">
        <v>41</v>
      </c>
      <c r="B34" s="13"/>
      <c r="C34" s="13"/>
      <c r="D34" s="13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</row>
    <row r="35" spans="1:16" ht="10.5" customHeigh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</row>
    <row r="36" spans="1:16" ht="10.5" customHeigh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</row>
    <row r="37" spans="1:16" ht="10.5" customHeigh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</row>
    <row r="38" spans="1:16" ht="10.5" customHeigh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</row>
    <row r="39" spans="1:16" ht="10.5" customHeigh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</row>
    <row r="40" spans="1:16" ht="10.5" customHeigh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</row>
    <row r="41" spans="1:16" ht="10.5" customHeigh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</row>
    <row r="42" spans="1:16" ht="10.5" customHeigh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</row>
    <row r="43" spans="1:16" ht="10.5" customHeigh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</row>
    <row r="44" spans="1:16" ht="10.5" customHeigh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</row>
    <row r="45" spans="1:16" ht="10.5" customHeigh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</row>
    <row r="46" spans="1:16" ht="10.5" customHeigh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</row>
    <row r="47" spans="1:16" ht="10.5" customHeigh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</row>
    <row r="48" spans="1:16" ht="10.5" customHeigh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</row>
    <row r="49" spans="1:16" ht="10.5" customHeigh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</row>
    <row r="50" spans="1:16" ht="10.5" customHeigh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</row>
    <row r="51" spans="1:16" ht="10.5" customHeigh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</row>
    <row r="52" spans="1:16" ht="10.5" customHeigh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</row>
    <row r="53" spans="1:16" ht="10.5" customHeigh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</row>
    <row r="54" spans="1:16" ht="10.5" customHeigh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</row>
    <row r="55" spans="1:16" ht="10.5" customHeigh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</row>
    <row r="56" spans="1:16" ht="10.5" customHeigh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</row>
    <row r="57" spans="1:16" ht="10.5" customHeigh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</row>
    <row r="58" spans="1:16" ht="10.5" customHeigh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</row>
    <row r="59" spans="1:16" ht="10.5" customHeigh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</row>
    <row r="60" spans="1:16" ht="10.5" customHeigh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</row>
    <row r="61" spans="1:16" ht="10.5" customHeigh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</row>
    <row r="62" spans="1:16" ht="10.5" customHeigh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</row>
    <row r="63" spans="1:16" ht="10.5" customHeigh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</row>
    <row r="64" spans="1:16" ht="10.5" customHeigh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</row>
    <row r="65" spans="1:16" ht="10.5" customHeigh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</row>
    <row r="66" spans="1:16" ht="10.5" customHeigh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</row>
    <row r="67" spans="1:16" ht="10.5" customHeigh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</row>
    <row r="68" spans="1:16" ht="10.5" customHeigh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</row>
    <row r="69" spans="1:16" ht="10.5" customHeigh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</row>
    <row r="70" spans="1:16" ht="10.5" customHeigh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</row>
    <row r="71" spans="1:16" ht="10.5" customHeigh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</row>
    <row r="72" spans="1:16" ht="10.5" customHeigh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</row>
    <row r="73" spans="1:16" ht="10.5" customHeigh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</row>
    <row r="74" spans="1:16" ht="10.5" customHeigh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</row>
    <row r="75" spans="1:16" ht="10.5" customHeigh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</row>
    <row r="76" spans="1:16" ht="10.5" customHeight="1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</row>
    <row r="77" spans="1:16" ht="10.5" customHeight="1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</row>
    <row r="78" spans="1:16" ht="10.5" customHeight="1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</row>
    <row r="79" spans="1:16" ht="10.5" customHeight="1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</row>
    <row r="80" spans="1:16" ht="10.5" customHeight="1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</row>
    <row r="81" spans="1:16" ht="10.5" customHeight="1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</row>
    <row r="82" spans="1:16" ht="10.5" customHeight="1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</row>
    <row r="83" spans="1:16" ht="10.5" customHeight="1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</row>
    <row r="84" spans="1:16" ht="10.5" customHeight="1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</row>
    <row r="85" spans="1:16" ht="10.5" customHeight="1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</row>
    <row r="86" spans="1:16" ht="10.5" customHeight="1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</row>
    <row r="87" spans="1:16" ht="10.5" customHeight="1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</row>
    <row r="88" spans="1:16" ht="10.5" customHeight="1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</row>
    <row r="89" spans="1:16" ht="10.5" customHeight="1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</row>
    <row r="90" spans="1:16" ht="10.5" customHeight="1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</row>
    <row r="91" spans="1:16" ht="10.5" customHeight="1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</row>
    <row r="92" spans="1:16" ht="10.5" customHeight="1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</row>
    <row r="93" spans="1:16" ht="10.5" customHeight="1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</row>
    <row r="94" spans="1:16" ht="10.5" customHeight="1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</row>
    <row r="95" spans="1:16" ht="10.5" customHeight="1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</row>
    <row r="96" spans="1:16" ht="10.5" customHeight="1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</row>
    <row r="97" spans="1:16" ht="10.5" customHeight="1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</row>
    <row r="98" spans="1:16" ht="10.5" customHeight="1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</row>
    <row r="99" spans="1:16" ht="10.5" customHeight="1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</row>
    <row r="100" spans="1:16" ht="10.5" customHeight="1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</row>
    <row r="101" spans="1:16" ht="10.5" customHeight="1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</row>
    <row r="102" spans="1:16" ht="10.5" customHeight="1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</row>
    <row r="103" spans="1:16" ht="10.5" customHeight="1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</row>
    <row r="104" spans="1:16" ht="10.5" customHeight="1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</row>
    <row r="105" spans="1:16" ht="10.5" customHeight="1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</row>
    <row r="106" spans="1:16" ht="10.5" customHeight="1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</row>
    <row r="107" spans="1:16" ht="10.5" customHeight="1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</row>
    <row r="108" spans="1:16" ht="10.5" customHeight="1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</row>
    <row r="109" spans="1:16" ht="10.5" customHeight="1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</row>
    <row r="110" spans="1:16" ht="10.5" customHeight="1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</row>
    <row r="111" spans="1:16" ht="10.5" customHeight="1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</row>
    <row r="112" spans="1:16" ht="10.5" customHeight="1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</row>
    <row r="113" spans="1:16" ht="10.5" customHeight="1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</row>
    <row r="114" spans="1:16" ht="10.5" customHeight="1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</row>
    <row r="115" spans="1:16" ht="10.5" customHeight="1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</row>
    <row r="116" spans="1:16" ht="10.5" customHeight="1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</row>
    <row r="117" spans="1:16" ht="10.5" customHeight="1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</row>
    <row r="118" spans="1:16" ht="10.5" customHeight="1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</row>
    <row r="119" spans="1:16" ht="10.5" customHeight="1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</row>
    <row r="120" spans="1:16" ht="10.5" customHeight="1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</row>
    <row r="121" spans="1:16" ht="10.5" customHeight="1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</row>
    <row r="122" spans="1:16" ht="10.5" customHeight="1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</row>
    <row r="123" spans="1:16" ht="10.5" customHeight="1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</row>
    <row r="124" spans="1:16" ht="10.5" customHeight="1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</row>
    <row r="125" spans="1:16" ht="10.5" customHeight="1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</row>
    <row r="126" spans="1:16" ht="10.5" customHeight="1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</row>
    <row r="127" spans="1:16" ht="10.5" customHeight="1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</row>
    <row r="128" spans="1:16" ht="10.5" customHeight="1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</row>
    <row r="129" spans="1:16" ht="10.5" customHeight="1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</row>
    <row r="130" spans="1:16" ht="10.5" customHeight="1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</row>
    <row r="131" spans="1:16" ht="10.5" customHeight="1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</row>
    <row r="132" spans="1:16" ht="10.5" customHeight="1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</row>
    <row r="133" spans="1:16" ht="10.5" customHeight="1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</row>
    <row r="134" spans="1:16" ht="10.5" customHeight="1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</row>
    <row r="135" spans="1:16" ht="10.5" customHeight="1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</row>
    <row r="136" spans="1:16" ht="10.5" customHeight="1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</row>
    <row r="137" spans="1:16" ht="10.5" customHeight="1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</row>
    <row r="138" spans="1:16" ht="10.5" customHeight="1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</row>
    <row r="139" spans="1:16" ht="10.5" customHeight="1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</row>
    <row r="140" spans="1:16" ht="10.5" customHeight="1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</row>
    <row r="141" spans="1:16" ht="10.5" customHeight="1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</row>
    <row r="142" spans="1:16" ht="10.5" customHeight="1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</row>
    <row r="143" spans="1:16" ht="10.5" customHeight="1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</row>
    <row r="144" spans="1:16" ht="10.5" customHeight="1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</row>
    <row r="145" spans="1:16" ht="10.5" customHeight="1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</row>
    <row r="146" spans="1:16" ht="10.5" customHeight="1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</row>
    <row r="147" spans="1:16" ht="10.5" customHeight="1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</row>
    <row r="148" spans="1:16" ht="10.5" customHeight="1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</row>
    <row r="149" spans="1:16" ht="10.5" customHeight="1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</row>
    <row r="150" spans="1:16" ht="10.5" customHeight="1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</row>
    <row r="151" spans="1:16" ht="10.5" customHeight="1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</row>
    <row r="152" spans="1:16" ht="10.5" customHeight="1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</row>
    <row r="153" spans="1:16" ht="10.5" customHeight="1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</row>
    <row r="154" spans="1:16" ht="10.5" customHeight="1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</row>
    <row r="155" spans="1:16" ht="10.5" customHeight="1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</row>
    <row r="156" spans="1:16" ht="10.5" customHeight="1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</row>
    <row r="157" spans="1:16" ht="10.5" customHeight="1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</row>
    <row r="158" spans="1:16" ht="10.5" customHeight="1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</row>
    <row r="159" spans="1:16" ht="10.5" customHeight="1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</row>
    <row r="160" spans="1:16" ht="10.5" customHeight="1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</row>
    <row r="161" spans="1:16" ht="10.5" customHeight="1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</row>
    <row r="162" spans="1:16" ht="10.5" customHeight="1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</row>
    <row r="163" spans="1:16" ht="10.5" customHeight="1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</row>
    <row r="164" spans="1:16" ht="10.5" customHeight="1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</row>
    <row r="165" spans="1:16" ht="10.5" customHeight="1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</row>
    <row r="166" spans="1:16" ht="10.5" customHeight="1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</row>
    <row r="167" spans="1:16" ht="10.5" customHeight="1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</row>
    <row r="168" spans="1:16" ht="10.5" customHeight="1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</row>
    <row r="169" spans="1:16" ht="10.5" customHeight="1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</row>
    <row r="170" spans="1:16" ht="10.5" customHeight="1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</row>
    <row r="171" spans="1:16" ht="10.5" customHeight="1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</row>
    <row r="172" spans="1:16" ht="10.5" customHeight="1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</row>
    <row r="173" spans="1:16" ht="10.5" customHeight="1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</row>
    <row r="174" spans="1:16" ht="10.5" customHeight="1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</row>
    <row r="175" spans="1:16" ht="10.5" customHeight="1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</row>
    <row r="176" spans="1:16" ht="10.5" customHeight="1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</row>
    <row r="177" spans="1:16" ht="10.5" customHeight="1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</row>
    <row r="178" spans="1:16" ht="10.5" customHeight="1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</row>
    <row r="179" spans="1:16" ht="10.5" customHeight="1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</row>
    <row r="180" spans="1:16" ht="10.5" customHeight="1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</row>
    <row r="181" spans="1:16" ht="10.5" customHeight="1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</row>
    <row r="182" spans="1:16" ht="10.5" customHeight="1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</row>
    <row r="183" spans="1:16" ht="10.5" customHeight="1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</row>
    <row r="184" spans="1:16" ht="10.5" customHeight="1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</row>
    <row r="185" spans="1:16" ht="10.5" customHeight="1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</row>
    <row r="186" spans="1:16" ht="10.5" customHeight="1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</row>
    <row r="187" spans="1:16" ht="10.5" customHeight="1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</row>
    <row r="188" spans="1:16" ht="10.5" customHeight="1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</row>
    <row r="189" spans="1:16" ht="10.5" customHeight="1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</row>
    <row r="190" spans="1:16" ht="10.5" customHeight="1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</row>
    <row r="191" spans="1:16" ht="10.5" customHeight="1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</row>
    <row r="192" spans="1:16" ht="10.5" customHeight="1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</row>
    <row r="193" spans="1:16" ht="10.5" customHeight="1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</row>
    <row r="194" spans="1:16" ht="10.5" customHeight="1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</row>
    <row r="195" spans="1:16" ht="10.5" customHeight="1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</row>
    <row r="196" spans="1:16" ht="10.5" customHeight="1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</row>
    <row r="197" spans="1:16" ht="10.5" customHeight="1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</row>
    <row r="198" spans="1:16" ht="10.5" customHeight="1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</row>
    <row r="199" spans="1:16" ht="10.5" customHeight="1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</row>
    <row r="200" spans="1:16" ht="10.5" customHeight="1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</row>
    <row r="201" spans="1:16" ht="10.5" customHeight="1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</row>
    <row r="202" spans="1:16" ht="10.5" customHeight="1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</row>
    <row r="203" spans="1:16" ht="10.5" customHeight="1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</row>
    <row r="204" spans="1:16" ht="10.5" customHeight="1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</row>
    <row r="205" spans="1:16" ht="10.5" customHeight="1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</row>
    <row r="206" spans="1:16" ht="10.5" customHeight="1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</row>
    <row r="207" spans="1:16" ht="10.5" customHeight="1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</row>
    <row r="208" spans="1:16" ht="10.5" customHeight="1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</row>
    <row r="209" spans="1:16" ht="10.5" customHeight="1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</row>
    <row r="210" spans="1:16" ht="10.5" customHeight="1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</row>
    <row r="211" spans="1:16" ht="10.5" customHeight="1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</row>
    <row r="212" spans="1:16" ht="10.5" customHeight="1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</row>
    <row r="213" spans="1:16" ht="10.5" customHeight="1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</row>
    <row r="214" spans="1:16" ht="10.5" customHeight="1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</row>
    <row r="215" spans="1:16" ht="10.5" customHeight="1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</row>
    <row r="216" spans="1:16" ht="10.5" customHeight="1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</row>
    <row r="217" spans="1:16" ht="10.5" customHeight="1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</row>
    <row r="218" spans="1:16" ht="10.5" customHeight="1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</row>
    <row r="219" spans="1:16" ht="10.5" customHeight="1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</row>
    <row r="220" spans="1:16" ht="10.5" customHeight="1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</row>
    <row r="221" spans="1:16" ht="10.5" customHeight="1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</row>
    <row r="222" spans="1:16" ht="10.5" customHeight="1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</row>
    <row r="223" spans="1:16" ht="10.5" customHeight="1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</row>
    <row r="224" spans="1:16" ht="10.5" customHeight="1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</row>
    <row r="225" spans="1:16" ht="10.5" customHeight="1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</row>
    <row r="226" spans="1:16" ht="10.5" customHeight="1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</row>
    <row r="227" spans="1:16" ht="10.5" customHeight="1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</row>
    <row r="228" spans="1:16" ht="10.5" customHeight="1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</row>
    <row r="229" spans="1:16" ht="10.5" customHeight="1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</row>
    <row r="230" spans="1:16" ht="10.5" customHeight="1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</row>
    <row r="231" spans="1:16" ht="10.5" customHeight="1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</row>
    <row r="232" spans="1:16" ht="10.5" customHeight="1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</row>
    <row r="233" spans="1:16" ht="10.5" customHeight="1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</row>
    <row r="234" spans="1:16" ht="10.5" customHeight="1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</row>
    <row r="235" spans="1:16" ht="10.5" customHeight="1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</row>
    <row r="236" spans="1:16" ht="10.5" customHeight="1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</row>
    <row r="237" spans="1:16" ht="10.5" customHeight="1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</row>
    <row r="238" spans="1:16" ht="10.5" customHeight="1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</row>
    <row r="239" spans="1:16" ht="10.5" customHeight="1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</row>
    <row r="240" spans="1:16" ht="10.5" customHeight="1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</row>
    <row r="241" spans="1:16" ht="10.5" customHeight="1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</row>
    <row r="242" spans="1:16" ht="10.5" customHeight="1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</row>
    <row r="243" spans="1:16" ht="10.5" customHeight="1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</row>
    <row r="244" spans="1:16" ht="10.5" customHeight="1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</row>
    <row r="245" spans="1:16" ht="10.5" customHeight="1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</row>
    <row r="246" spans="1:16" ht="10.5" customHeight="1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</row>
    <row r="247" spans="1:16" ht="10.5" customHeight="1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</row>
    <row r="248" spans="1:16" ht="10.5" customHeight="1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</row>
    <row r="249" spans="1:16" ht="10.5" customHeight="1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</row>
    <row r="250" spans="1:16" ht="10.5" customHeight="1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</row>
    <row r="251" spans="1:16" ht="10.5" customHeight="1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</row>
    <row r="252" spans="1:16" ht="10.5" customHeight="1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</row>
    <row r="253" spans="1:16" ht="10.5" customHeight="1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</row>
    <row r="254" spans="1:16" ht="10.5" customHeight="1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</row>
    <row r="255" spans="1:16" ht="10.5" customHeight="1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</row>
    <row r="256" spans="1:16" ht="10.5" customHeight="1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</row>
    <row r="257" spans="1:16" ht="10.5" customHeight="1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</row>
    <row r="258" spans="1:16" ht="10.5" customHeight="1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</row>
    <row r="259" spans="1:16" ht="10.5" customHeight="1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</row>
    <row r="260" spans="1:16" ht="10.5" customHeight="1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</row>
    <row r="261" spans="1:16" ht="10.5" customHeight="1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</row>
    <row r="262" spans="1:16" ht="10.5" customHeight="1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</row>
    <row r="263" spans="1:16" ht="10.5" customHeight="1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</row>
    <row r="264" spans="1:16" ht="10.5" customHeight="1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</row>
    <row r="265" spans="1:16" ht="10.5" customHeight="1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</row>
    <row r="266" spans="1:16" ht="10.5" customHeight="1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</row>
    <row r="267" spans="1:16" ht="10.5" customHeight="1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</row>
    <row r="268" spans="1:16" ht="10.5" customHeight="1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</row>
    <row r="269" spans="1:16" ht="10.5" customHeight="1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</row>
    <row r="270" spans="1:16" ht="10.5" customHeight="1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</row>
    <row r="271" spans="1:16" ht="10.5" customHeight="1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</row>
    <row r="272" spans="1:16" ht="10.5" customHeight="1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</row>
    <row r="273" spans="1:16" ht="10.5" customHeight="1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</row>
    <row r="274" spans="1:16" ht="10.5" customHeight="1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</row>
    <row r="275" spans="1:16" ht="10.5" customHeight="1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</row>
    <row r="276" spans="1:16" ht="10.5" customHeight="1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</row>
    <row r="277" spans="1:16" ht="10.5" customHeight="1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</row>
    <row r="278" spans="1:16" ht="10.5" customHeight="1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</row>
    <row r="279" spans="1:16" ht="10.5" customHeight="1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</row>
    <row r="280" spans="1:16" ht="10.5" customHeight="1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</row>
    <row r="281" spans="1:16" ht="10.5" customHeight="1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</row>
    <row r="282" spans="1:16" ht="10.5" customHeight="1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</row>
    <row r="283" spans="1:16" ht="10.5" customHeight="1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</row>
    <row r="284" spans="1:16" ht="10.5" customHeight="1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</row>
    <row r="285" spans="1:16" ht="10.5" customHeight="1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</row>
    <row r="286" spans="1:16" ht="10.5" customHeight="1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</row>
    <row r="287" spans="1:16" ht="10.5" customHeight="1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</row>
    <row r="288" spans="1:16" ht="10.5" customHeight="1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</row>
    <row r="289" spans="1:16" ht="10.5" customHeight="1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</row>
    <row r="290" spans="1:16" ht="10.5" customHeight="1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</row>
    <row r="291" spans="1:16" ht="10.5" customHeight="1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</row>
    <row r="292" spans="1:16" ht="10.5" customHeight="1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</row>
    <row r="293" spans="1:16" ht="10.5" customHeight="1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</row>
    <row r="294" spans="1:16" ht="10.5" customHeight="1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</row>
    <row r="295" spans="1:16" ht="10.5" customHeight="1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</row>
    <row r="296" spans="1:16" ht="10.5" customHeight="1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</row>
    <row r="297" spans="1:16" ht="10.5" customHeight="1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</row>
    <row r="298" spans="1:16" ht="10.5" customHeight="1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</row>
    <row r="299" spans="1:16" ht="10.5" customHeight="1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</row>
    <row r="300" spans="1:16" ht="10.5" customHeight="1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</row>
    <row r="301" spans="1:16" ht="10.5" customHeight="1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</row>
    <row r="302" spans="1:16" ht="10.5" customHeight="1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</row>
    <row r="303" spans="1:16" ht="10.5" customHeight="1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</row>
    <row r="304" spans="1:16" ht="10.5" customHeight="1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</row>
    <row r="305" spans="1:16" ht="10.5" customHeight="1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</row>
    <row r="306" spans="1:16" ht="10.5" customHeight="1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</row>
    <row r="307" spans="1:16" ht="10.5" customHeight="1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</row>
    <row r="308" spans="1:16" ht="10.5" customHeight="1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</row>
    <row r="309" spans="1:16" ht="10.5" customHeight="1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</row>
    <row r="310" spans="1:16" ht="10.5" customHeight="1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</row>
    <row r="311" spans="1:16" ht="10.5" customHeight="1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</row>
    <row r="312" spans="1:16" ht="10.5" customHeight="1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</row>
    <row r="313" spans="1:16" ht="10.5" customHeight="1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</row>
    <row r="314" spans="1:16" ht="10.5" customHeight="1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</row>
    <row r="315" spans="1:16" ht="10.5" customHeight="1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</row>
    <row r="316" spans="1:16" ht="10.5" customHeight="1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</row>
    <row r="317" spans="1:16" ht="10.5" customHeight="1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</row>
    <row r="318" spans="1:16" ht="10.5" customHeight="1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</row>
    <row r="319" spans="1:16" ht="10.5" customHeight="1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</row>
    <row r="320" spans="1:16" ht="10.5" customHeight="1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</row>
    <row r="321" spans="1:16" ht="10.5" customHeight="1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</row>
    <row r="322" spans="1:16" ht="10.5" customHeight="1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</row>
    <row r="323" spans="1:16" ht="10.5" customHeight="1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</row>
    <row r="324" spans="1:16" ht="10.5" customHeight="1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</row>
    <row r="325" spans="1:16" ht="10.5" customHeight="1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</row>
    <row r="326" spans="1:16" ht="10.5" customHeight="1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</row>
    <row r="327" spans="1:16" ht="10.5" customHeight="1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</row>
    <row r="328" spans="1:16" ht="10.5" customHeight="1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</row>
    <row r="329" spans="1:16" ht="10.5" customHeight="1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</row>
    <row r="330" spans="1:16" ht="10.5" customHeight="1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</row>
    <row r="331" spans="1:16" ht="10.5" customHeight="1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</row>
    <row r="332" spans="1:16" ht="10.5" customHeight="1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</row>
    <row r="333" spans="1:16" ht="10.5" customHeight="1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</row>
    <row r="334" spans="1:16" ht="10.5" customHeight="1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</row>
    <row r="335" spans="1:16" ht="10.5" customHeight="1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</row>
    <row r="336" spans="1:16" ht="10.5" customHeight="1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</row>
    <row r="337" spans="1:16" ht="10.5" customHeight="1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</row>
    <row r="338" spans="1:16" ht="10.5" customHeight="1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</row>
    <row r="339" spans="1:16" ht="10.5" customHeight="1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</row>
    <row r="340" spans="1:16" ht="10.5" customHeight="1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</row>
    <row r="341" spans="1:16" ht="10.5" customHeight="1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</row>
    <row r="342" spans="1:16" ht="10.5" customHeight="1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</row>
    <row r="343" spans="1:16" ht="10.5" customHeight="1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</row>
    <row r="344" spans="1:16" ht="10.5" customHeight="1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</row>
    <row r="345" spans="1:16" ht="10.5" customHeight="1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</row>
    <row r="346" spans="1:16" ht="10.5" customHeight="1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</row>
    <row r="347" spans="1:16" ht="10.5" customHeight="1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</row>
    <row r="348" spans="1:16" ht="10.5" customHeight="1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</row>
    <row r="349" spans="1:16" ht="10.5" customHeight="1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</row>
    <row r="350" spans="1:16" ht="10.5" customHeight="1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</row>
    <row r="351" spans="1:16" ht="10.5" customHeight="1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</row>
    <row r="352" spans="1:16" ht="10.5" customHeight="1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</row>
    <row r="353" spans="1:16" ht="10.5" customHeight="1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</row>
    <row r="354" spans="1:16" ht="10.5" customHeight="1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</row>
    <row r="355" spans="1:16" ht="10.5" customHeight="1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</row>
    <row r="356" spans="1:16" ht="10.5" customHeight="1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</row>
    <row r="357" spans="1:16" ht="10.5" customHeight="1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</row>
    <row r="358" spans="1:16" ht="10.5" customHeight="1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</row>
    <row r="359" spans="1:16" ht="10.5" customHeight="1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</row>
    <row r="360" spans="1:16" ht="10.5" customHeight="1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</row>
    <row r="361" spans="1:16" ht="10.5" customHeight="1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</row>
    <row r="362" spans="1:16" ht="10.5" customHeight="1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</row>
    <row r="363" spans="1:16" ht="10.5" customHeight="1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</row>
    <row r="364" spans="1:16" ht="10.5" customHeight="1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</row>
    <row r="365" spans="1:16" ht="10.5" customHeight="1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</row>
    <row r="366" spans="1:16" ht="10.5" customHeight="1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</row>
    <row r="367" spans="1:16" ht="10.5" customHeight="1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</row>
    <row r="368" spans="1:16" ht="10.5" customHeight="1" x14ac:dyDescent="0.25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</row>
    <row r="369" spans="1:16" ht="10.5" customHeight="1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</row>
    <row r="370" spans="1:16" ht="10.5" customHeight="1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</row>
    <row r="371" spans="1:16" ht="10.5" customHeight="1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</row>
    <row r="372" spans="1:16" ht="10.5" customHeight="1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</row>
    <row r="373" spans="1:16" ht="10.5" customHeight="1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</row>
    <row r="374" spans="1:16" ht="10.5" customHeight="1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</row>
    <row r="375" spans="1:16" ht="10.5" customHeight="1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</row>
    <row r="376" spans="1:16" ht="10.5" customHeight="1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</row>
    <row r="377" spans="1:16" ht="10.5" customHeight="1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</row>
    <row r="378" spans="1:16" ht="10.5" customHeight="1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</row>
    <row r="379" spans="1:16" ht="10.5" customHeight="1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</row>
    <row r="380" spans="1:16" ht="10.5" customHeight="1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</row>
    <row r="381" spans="1:16" ht="10.5" customHeight="1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</row>
    <row r="382" spans="1:16" ht="10.5" customHeight="1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</row>
    <row r="383" spans="1:16" ht="10.5" customHeight="1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</row>
    <row r="384" spans="1:16" ht="10.5" customHeight="1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</row>
    <row r="385" spans="1:16" ht="10.5" customHeight="1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</row>
    <row r="386" spans="1:16" ht="10.5" customHeight="1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</row>
    <row r="387" spans="1:16" ht="10.5" customHeight="1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</row>
    <row r="388" spans="1:16" ht="10.5" customHeight="1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</row>
    <row r="389" spans="1:16" ht="10.5" customHeight="1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</row>
    <row r="390" spans="1:16" ht="10.5" customHeight="1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</row>
    <row r="391" spans="1:16" ht="10.5" customHeight="1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</row>
    <row r="392" spans="1:16" ht="10.5" customHeight="1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</row>
    <row r="393" spans="1:16" ht="10.5" customHeight="1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</row>
    <row r="394" spans="1:16" ht="10.5" customHeight="1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</row>
    <row r="395" spans="1:16" ht="10.5" customHeight="1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</row>
    <row r="396" spans="1:16" ht="10.5" customHeight="1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</row>
    <row r="397" spans="1:16" ht="10.5" customHeight="1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</row>
    <row r="398" spans="1:16" ht="10.5" customHeight="1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</row>
    <row r="399" spans="1:16" ht="10.5" customHeight="1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</row>
    <row r="400" spans="1:16" ht="10.5" customHeight="1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</row>
    <row r="401" spans="1:16" ht="10.5" customHeight="1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</row>
    <row r="402" spans="1:16" ht="10.5" customHeight="1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</row>
    <row r="403" spans="1:16" ht="10.5" customHeight="1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</row>
    <row r="404" spans="1:16" ht="10.5" customHeight="1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</row>
    <row r="405" spans="1:16" ht="10.5" customHeight="1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</row>
    <row r="406" spans="1:16" ht="10.5" customHeight="1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</row>
    <row r="407" spans="1:16" ht="10.5" customHeight="1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</row>
    <row r="408" spans="1:16" ht="10.5" customHeight="1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</row>
    <row r="409" spans="1:16" ht="10.5" customHeight="1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</row>
    <row r="410" spans="1:16" ht="10.5" customHeight="1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</row>
    <row r="411" spans="1:16" ht="10.5" customHeight="1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</row>
    <row r="412" spans="1:16" ht="10.5" customHeight="1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</row>
    <row r="413" spans="1:16" ht="10.5" customHeight="1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</row>
    <row r="414" spans="1:16" ht="10.5" customHeight="1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</row>
    <row r="415" spans="1:16" ht="10.5" customHeight="1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</row>
    <row r="416" spans="1:16" ht="10.5" customHeight="1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</row>
    <row r="417" spans="1:16" ht="10.5" customHeight="1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</row>
    <row r="418" spans="1:16" ht="10.5" customHeight="1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</row>
    <row r="419" spans="1:16" ht="10.5" customHeight="1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</row>
    <row r="420" spans="1:16" ht="10.5" customHeight="1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</row>
    <row r="421" spans="1:16" ht="10.5" customHeight="1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</row>
    <row r="422" spans="1:16" ht="10.5" customHeight="1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</row>
    <row r="423" spans="1:16" ht="10.5" customHeight="1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</row>
    <row r="424" spans="1:16" ht="10.5" customHeight="1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</row>
    <row r="425" spans="1:16" ht="10.5" customHeight="1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</row>
    <row r="426" spans="1:16" ht="10.5" customHeight="1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</row>
    <row r="427" spans="1:16" ht="10.5" customHeight="1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</row>
    <row r="428" spans="1:16" ht="10.5" customHeight="1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</row>
    <row r="429" spans="1:16" ht="10.5" customHeight="1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</row>
    <row r="430" spans="1:16" ht="10.5" customHeight="1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</row>
    <row r="431" spans="1:16" ht="10.5" customHeight="1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</row>
    <row r="432" spans="1:16" ht="10.5" customHeight="1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</row>
    <row r="433" spans="1:16" ht="10.5" customHeight="1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</row>
    <row r="434" spans="1:16" ht="10.5" customHeight="1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</row>
    <row r="435" spans="1:16" ht="10.5" customHeight="1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</row>
    <row r="436" spans="1:16" ht="10.5" customHeight="1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</row>
    <row r="437" spans="1:16" ht="10.5" customHeight="1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</row>
    <row r="438" spans="1:16" ht="10.5" customHeight="1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</row>
    <row r="439" spans="1:16" ht="10.5" customHeight="1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</row>
    <row r="440" spans="1:16" ht="10.5" customHeight="1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</row>
    <row r="441" spans="1:16" ht="10.5" customHeight="1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</row>
    <row r="442" spans="1:16" ht="10.5" customHeight="1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</row>
    <row r="443" spans="1:16" ht="10.5" customHeight="1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</row>
    <row r="444" spans="1:16" ht="10.5" customHeight="1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</row>
    <row r="445" spans="1:16" ht="10.5" customHeight="1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</row>
    <row r="446" spans="1:16" ht="10.5" customHeight="1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</row>
    <row r="447" spans="1:16" ht="10.5" customHeight="1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</row>
    <row r="448" spans="1:16" ht="10.5" customHeight="1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</row>
    <row r="449" spans="1:16" ht="10.5" customHeight="1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</row>
    <row r="450" spans="1:16" ht="10.5" customHeight="1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</row>
    <row r="451" spans="1:16" ht="10.5" customHeight="1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</row>
    <row r="452" spans="1:16" ht="10.5" customHeight="1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</row>
    <row r="453" spans="1:16" ht="10.5" customHeight="1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</row>
    <row r="454" spans="1:16" ht="10.5" customHeight="1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</row>
    <row r="455" spans="1:16" ht="10.5" customHeight="1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</row>
    <row r="456" spans="1:16" ht="10.5" customHeight="1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</row>
    <row r="457" spans="1:16" ht="10.5" customHeight="1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</row>
    <row r="458" spans="1:16" ht="10.5" customHeight="1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</row>
    <row r="459" spans="1:16" ht="10.5" customHeight="1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</row>
    <row r="460" spans="1:16" ht="10.5" customHeight="1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</row>
    <row r="461" spans="1:16" ht="10.5" customHeight="1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</row>
    <row r="462" spans="1:16" ht="10.5" customHeight="1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</row>
    <row r="463" spans="1:16" ht="10.5" customHeight="1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</row>
    <row r="464" spans="1:16" ht="10.5" customHeight="1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</row>
    <row r="465" spans="1:16" ht="10.5" customHeight="1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</row>
    <row r="466" spans="1:16" ht="10.5" customHeight="1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</row>
    <row r="467" spans="1:16" ht="10.5" customHeight="1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</row>
    <row r="468" spans="1:16" ht="10.5" customHeight="1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</row>
    <row r="469" spans="1:16" ht="10.5" customHeight="1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</row>
    <row r="470" spans="1:16" ht="10.5" customHeight="1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</row>
    <row r="471" spans="1:16" ht="10.5" customHeight="1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</row>
    <row r="472" spans="1:16" ht="10.5" customHeight="1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</row>
    <row r="473" spans="1:16" ht="10.5" customHeight="1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</row>
    <row r="474" spans="1:16" ht="10.5" customHeight="1" x14ac:dyDescent="0.25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</row>
    <row r="475" spans="1:16" ht="10.5" customHeight="1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</row>
    <row r="476" spans="1:16" ht="10.5" customHeight="1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</row>
    <row r="477" spans="1:16" ht="10.5" customHeight="1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</row>
    <row r="478" spans="1:16" ht="10.5" customHeight="1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</row>
    <row r="479" spans="1:16" ht="10.5" customHeight="1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</row>
    <row r="480" spans="1:16" ht="10.5" customHeight="1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</row>
    <row r="481" spans="1:16" ht="10.5" customHeight="1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</row>
    <row r="482" spans="1:16" ht="10.5" customHeight="1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</row>
    <row r="483" spans="1:16" ht="10.5" customHeight="1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</row>
    <row r="484" spans="1:16" ht="10.5" customHeight="1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</row>
    <row r="485" spans="1:16" ht="10.5" customHeight="1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</row>
    <row r="486" spans="1:16" ht="10.5" customHeight="1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</row>
    <row r="487" spans="1:16" ht="10.5" customHeight="1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</row>
    <row r="488" spans="1:16" ht="10.5" customHeight="1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</row>
    <row r="489" spans="1:16" ht="10.5" customHeight="1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</row>
    <row r="490" spans="1:16" ht="10.5" customHeight="1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</row>
    <row r="491" spans="1:16" ht="10.5" customHeight="1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</row>
    <row r="492" spans="1:16" ht="10.5" customHeight="1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</row>
    <row r="493" spans="1:16" ht="10.5" customHeight="1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</row>
    <row r="494" spans="1:16" ht="10.5" customHeight="1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</row>
    <row r="495" spans="1:16" ht="10.5" customHeight="1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</row>
    <row r="496" spans="1:16" ht="10.5" customHeight="1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</row>
    <row r="497" spans="1:16" ht="10.5" customHeight="1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</row>
    <row r="498" spans="1:16" ht="10.5" customHeight="1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</row>
    <row r="499" spans="1:16" ht="10.5" customHeight="1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</row>
    <row r="500" spans="1:16" ht="10.5" customHeight="1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</row>
    <row r="501" spans="1:16" ht="10.5" customHeight="1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</row>
    <row r="502" spans="1:16" ht="10.5" customHeight="1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</row>
    <row r="503" spans="1:16" ht="10.5" customHeight="1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</row>
    <row r="504" spans="1:16" ht="10.5" customHeight="1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</row>
    <row r="505" spans="1:16" ht="10.5" customHeight="1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</row>
    <row r="506" spans="1:16" ht="10.5" customHeight="1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</row>
    <row r="507" spans="1:16" ht="10.5" customHeight="1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</row>
    <row r="508" spans="1:16" ht="10.5" customHeight="1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</row>
    <row r="509" spans="1:16" ht="10.5" customHeight="1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</row>
    <row r="510" spans="1:16" ht="10.5" customHeight="1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</row>
    <row r="511" spans="1:16" ht="10.5" customHeight="1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</row>
    <row r="512" spans="1:16" ht="10.5" customHeight="1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</row>
    <row r="513" spans="1:16" ht="10.5" customHeight="1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</row>
    <row r="514" spans="1:16" ht="10.5" customHeight="1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</row>
    <row r="515" spans="1:16" ht="10.5" customHeight="1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</row>
    <row r="516" spans="1:16" ht="10.5" customHeight="1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</row>
    <row r="517" spans="1:16" ht="10.5" customHeight="1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</row>
    <row r="518" spans="1:16" ht="10.5" customHeight="1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</row>
    <row r="519" spans="1:16" ht="10.5" customHeight="1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</row>
    <row r="520" spans="1:16" ht="10.5" customHeight="1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</row>
    <row r="521" spans="1:16" ht="10.5" customHeight="1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</row>
    <row r="522" spans="1:16" ht="10.5" customHeight="1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</row>
    <row r="523" spans="1:16" ht="10.5" customHeight="1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</row>
    <row r="524" spans="1:16" ht="10.5" customHeight="1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</row>
    <row r="525" spans="1:16" ht="10.5" customHeight="1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</row>
    <row r="526" spans="1:16" ht="10.5" customHeight="1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</row>
    <row r="527" spans="1:16" ht="10.5" customHeight="1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</row>
    <row r="528" spans="1:16" ht="10.5" customHeight="1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</row>
    <row r="529" spans="1:16" ht="10.5" customHeight="1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</row>
    <row r="530" spans="1:16" ht="10.5" customHeight="1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</row>
    <row r="531" spans="1:16" ht="10.5" customHeight="1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</row>
    <row r="532" spans="1:16" ht="10.5" customHeight="1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</row>
    <row r="533" spans="1:16" ht="10.5" customHeight="1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</row>
    <row r="534" spans="1:16" ht="10.5" customHeight="1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</row>
    <row r="535" spans="1:16" ht="10.5" customHeight="1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</row>
    <row r="536" spans="1:16" ht="10.5" customHeight="1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</row>
    <row r="537" spans="1:16" ht="10.5" customHeight="1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</row>
    <row r="538" spans="1:16" ht="10.5" customHeight="1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</row>
    <row r="539" spans="1:16" ht="10.5" customHeight="1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</row>
    <row r="540" spans="1:16" ht="10.5" customHeight="1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</row>
    <row r="541" spans="1:16" ht="10.5" customHeight="1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</row>
    <row r="542" spans="1:16" ht="10.5" customHeight="1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</row>
    <row r="543" spans="1:16" ht="10.5" customHeight="1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</row>
    <row r="544" spans="1:16" ht="10.5" customHeight="1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</row>
    <row r="545" spans="1:16" ht="10.5" customHeight="1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</row>
    <row r="546" spans="1:16" ht="10.5" customHeight="1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</row>
    <row r="547" spans="1:16" ht="10.5" customHeight="1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</row>
    <row r="548" spans="1:16" ht="10.5" customHeight="1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</row>
    <row r="549" spans="1:16" ht="10.5" customHeight="1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</row>
    <row r="550" spans="1:16" ht="10.5" customHeight="1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</row>
    <row r="551" spans="1:16" ht="10.5" customHeight="1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</row>
    <row r="552" spans="1:16" ht="10.5" customHeight="1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</row>
    <row r="553" spans="1:16" ht="10.5" customHeight="1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</row>
    <row r="554" spans="1:16" ht="10.5" customHeight="1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</row>
    <row r="555" spans="1:16" ht="10.5" customHeight="1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</row>
    <row r="556" spans="1:16" ht="10.5" customHeight="1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</row>
    <row r="557" spans="1:16" ht="10.5" customHeight="1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</row>
    <row r="558" spans="1:16" ht="10.5" customHeight="1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</row>
    <row r="559" spans="1:16" ht="10.5" customHeight="1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</row>
    <row r="560" spans="1:16" ht="10.5" customHeight="1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</row>
    <row r="561" spans="1:16" ht="10.5" customHeight="1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</row>
    <row r="562" spans="1:16" ht="10.5" customHeight="1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</row>
    <row r="563" spans="1:16" ht="10.5" customHeight="1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</row>
    <row r="564" spans="1:16" ht="10.5" customHeight="1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</row>
    <row r="565" spans="1:16" ht="10.5" customHeight="1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</row>
    <row r="566" spans="1:16" ht="10.5" customHeight="1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</row>
    <row r="567" spans="1:16" ht="10.5" customHeight="1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</row>
    <row r="568" spans="1:16" ht="10.5" customHeight="1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</row>
    <row r="569" spans="1:16" ht="10.5" customHeight="1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</row>
    <row r="570" spans="1:16" ht="10.5" customHeight="1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</row>
    <row r="571" spans="1:16" ht="10.5" customHeight="1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</row>
    <row r="572" spans="1:16" ht="10.5" customHeight="1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</row>
    <row r="573" spans="1:16" ht="10.5" customHeight="1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</row>
    <row r="574" spans="1:16" ht="10.5" customHeight="1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</row>
    <row r="575" spans="1:16" ht="10.5" customHeight="1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</row>
    <row r="576" spans="1:16" ht="10.5" customHeight="1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</row>
    <row r="577" spans="1:16" ht="10.5" customHeight="1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</row>
    <row r="578" spans="1:16" ht="10.5" customHeight="1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</row>
    <row r="579" spans="1:16" ht="10.5" customHeight="1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</row>
    <row r="580" spans="1:16" ht="10.5" customHeight="1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</row>
    <row r="581" spans="1:16" ht="10.5" customHeight="1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</row>
    <row r="582" spans="1:16" ht="10.5" customHeight="1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</row>
    <row r="583" spans="1:16" ht="10.5" customHeight="1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</row>
    <row r="584" spans="1:16" ht="10.5" customHeight="1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</row>
    <row r="585" spans="1:16" ht="10.5" customHeight="1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</row>
    <row r="586" spans="1:16" ht="10.5" customHeight="1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</row>
    <row r="587" spans="1:16" ht="10.5" customHeight="1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</row>
    <row r="588" spans="1:16" ht="10.5" customHeight="1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</row>
    <row r="589" spans="1:16" ht="10.5" customHeight="1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</row>
    <row r="590" spans="1:16" ht="10.5" customHeight="1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</row>
    <row r="591" spans="1:16" ht="10.5" customHeight="1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</row>
    <row r="592" spans="1:16" ht="10.5" customHeight="1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</row>
    <row r="593" spans="1:16" ht="10.5" customHeight="1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</row>
    <row r="594" spans="1:16" ht="10.5" customHeight="1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</row>
    <row r="595" spans="1:16" ht="10.5" customHeight="1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</row>
    <row r="596" spans="1:16" ht="10.5" customHeight="1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</row>
    <row r="597" spans="1:16" ht="10.5" customHeight="1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</row>
    <row r="598" spans="1:16" ht="10.5" customHeight="1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</row>
    <row r="599" spans="1:16" ht="10.5" customHeight="1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</row>
    <row r="600" spans="1:16" ht="10.5" customHeight="1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</row>
    <row r="601" spans="1:16" ht="10.5" customHeight="1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</row>
    <row r="602" spans="1:16" ht="10.5" customHeight="1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</row>
    <row r="603" spans="1:16" ht="10.5" customHeight="1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</row>
    <row r="604" spans="1:16" ht="10.5" customHeight="1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</row>
    <row r="605" spans="1:16" ht="10.5" customHeight="1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</row>
    <row r="606" spans="1:16" ht="10.5" customHeight="1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</row>
    <row r="607" spans="1:16" ht="10.5" customHeight="1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</row>
    <row r="608" spans="1:16" ht="10.5" customHeight="1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</row>
    <row r="609" spans="1:16" ht="10.5" customHeight="1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</row>
    <row r="610" spans="1:16" ht="10.5" customHeight="1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</row>
    <row r="611" spans="1:16" ht="10.5" customHeight="1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</row>
    <row r="612" spans="1:16" ht="10.5" customHeight="1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</row>
    <row r="613" spans="1:16" ht="10.5" customHeight="1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</row>
    <row r="614" spans="1:16" ht="10.5" customHeight="1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</row>
    <row r="615" spans="1:16" ht="10.5" customHeight="1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</row>
    <row r="616" spans="1:16" ht="10.5" customHeight="1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</row>
    <row r="617" spans="1:16" ht="10.5" customHeight="1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</row>
    <row r="618" spans="1:16" ht="10.5" customHeight="1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</row>
    <row r="619" spans="1:16" ht="10.5" customHeight="1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</row>
    <row r="620" spans="1:16" ht="10.5" customHeight="1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</row>
    <row r="621" spans="1:16" ht="10.5" customHeight="1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</row>
    <row r="622" spans="1:16" ht="10.5" customHeight="1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</row>
    <row r="623" spans="1:16" ht="10.5" customHeight="1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</row>
    <row r="624" spans="1:16" ht="10.5" customHeight="1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</row>
    <row r="625" spans="1:16" ht="10.5" customHeight="1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</row>
    <row r="626" spans="1:16" ht="10.5" customHeight="1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</row>
    <row r="627" spans="1:16" ht="10.5" customHeight="1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</row>
    <row r="628" spans="1:16" ht="10.5" customHeight="1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</row>
    <row r="629" spans="1:16" ht="10.5" customHeight="1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</row>
    <row r="630" spans="1:16" ht="10.5" customHeight="1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</row>
    <row r="631" spans="1:16" ht="10.5" customHeight="1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</row>
    <row r="632" spans="1:16" ht="10.5" customHeight="1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</row>
    <row r="633" spans="1:16" ht="10.5" customHeight="1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</row>
    <row r="634" spans="1:16" ht="10.5" customHeight="1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</row>
    <row r="635" spans="1:16" ht="10.5" customHeight="1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</row>
    <row r="636" spans="1:16" ht="10.5" customHeight="1" x14ac:dyDescent="0.25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</row>
    <row r="637" spans="1:16" ht="10.5" customHeight="1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</row>
    <row r="638" spans="1:16" ht="10.5" customHeight="1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</row>
    <row r="639" spans="1:16" ht="10.5" customHeight="1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</row>
    <row r="640" spans="1:16" ht="10.5" customHeight="1" x14ac:dyDescent="0.25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</row>
    <row r="641" spans="1:16" ht="10.5" customHeight="1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</row>
    <row r="642" spans="1:16" ht="10.5" customHeight="1" x14ac:dyDescent="0.25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</row>
    <row r="643" spans="1:16" ht="10.5" customHeight="1" x14ac:dyDescent="0.25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</row>
    <row r="644" spans="1:16" ht="10.5" customHeight="1" x14ac:dyDescent="0.25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</row>
    <row r="645" spans="1:16" ht="10.5" customHeight="1" x14ac:dyDescent="0.25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</row>
    <row r="646" spans="1:16" ht="10.5" customHeight="1" x14ac:dyDescent="0.25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</row>
    <row r="647" spans="1:16" ht="10.5" customHeight="1" x14ac:dyDescent="0.25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</row>
    <row r="648" spans="1:16" ht="10.5" customHeight="1" x14ac:dyDescent="0.25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</row>
    <row r="649" spans="1:16" ht="10.5" customHeight="1" x14ac:dyDescent="0.25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</row>
    <row r="650" spans="1:16" ht="10.5" customHeight="1" x14ac:dyDescent="0.25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</row>
    <row r="651" spans="1:16" ht="10.5" customHeight="1" x14ac:dyDescent="0.25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</row>
    <row r="652" spans="1:16" ht="10.5" customHeight="1" x14ac:dyDescent="0.25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</row>
    <row r="653" spans="1:16" ht="10.5" customHeight="1" x14ac:dyDescent="0.25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</row>
    <row r="654" spans="1:16" ht="10.5" customHeight="1" x14ac:dyDescent="0.25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</row>
    <row r="655" spans="1:16" ht="10.5" customHeight="1" x14ac:dyDescent="0.25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</row>
    <row r="656" spans="1:16" ht="10.5" customHeight="1" x14ac:dyDescent="0.25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</row>
    <row r="657" spans="1:16" ht="10.5" customHeight="1" x14ac:dyDescent="0.25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</row>
    <row r="658" spans="1:16" ht="10.5" customHeight="1" x14ac:dyDescent="0.25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</row>
    <row r="659" spans="1:16" ht="10.5" customHeight="1" x14ac:dyDescent="0.25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</row>
    <row r="660" spans="1:16" ht="10.5" customHeight="1" x14ac:dyDescent="0.25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</row>
    <row r="661" spans="1:16" ht="10.5" customHeight="1" x14ac:dyDescent="0.25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</row>
    <row r="662" spans="1:16" ht="10.5" customHeight="1" x14ac:dyDescent="0.25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</row>
    <row r="663" spans="1:16" ht="10.5" customHeight="1" x14ac:dyDescent="0.25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</row>
    <row r="664" spans="1:16" ht="10.5" customHeight="1" x14ac:dyDescent="0.25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</row>
    <row r="665" spans="1:16" ht="10.5" customHeight="1" x14ac:dyDescent="0.25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</row>
    <row r="666" spans="1:16" ht="10.5" customHeight="1" x14ac:dyDescent="0.25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</row>
    <row r="667" spans="1:16" ht="10.5" customHeight="1" x14ac:dyDescent="0.25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</row>
    <row r="668" spans="1:16" ht="10.5" customHeight="1" x14ac:dyDescent="0.25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</row>
    <row r="669" spans="1:16" ht="10.5" customHeight="1" x14ac:dyDescent="0.25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</row>
    <row r="670" spans="1:16" ht="10.5" customHeight="1" x14ac:dyDescent="0.25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</row>
    <row r="671" spans="1:16" ht="10.5" customHeight="1" x14ac:dyDescent="0.25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</row>
    <row r="672" spans="1:16" ht="10.5" customHeight="1" x14ac:dyDescent="0.25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</row>
    <row r="673" spans="1:16" ht="10.5" customHeight="1" x14ac:dyDescent="0.25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</row>
    <row r="674" spans="1:16" ht="10.5" customHeight="1" x14ac:dyDescent="0.25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</row>
    <row r="675" spans="1:16" ht="10.5" customHeight="1" x14ac:dyDescent="0.25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</row>
    <row r="676" spans="1:16" ht="10.5" customHeight="1" x14ac:dyDescent="0.25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</row>
    <row r="677" spans="1:16" ht="10.5" customHeight="1" x14ac:dyDescent="0.2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</row>
    <row r="678" spans="1:16" ht="10.5" customHeight="1" x14ac:dyDescent="0.25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</row>
    <row r="679" spans="1:16" ht="10.5" customHeight="1" x14ac:dyDescent="0.25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</row>
    <row r="680" spans="1:16" ht="10.5" customHeight="1" x14ac:dyDescent="0.25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</row>
    <row r="681" spans="1:16" ht="10.5" customHeight="1" x14ac:dyDescent="0.25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</row>
    <row r="682" spans="1:16" ht="10.5" customHeight="1" x14ac:dyDescent="0.25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</row>
    <row r="683" spans="1:16" ht="10.5" customHeight="1" x14ac:dyDescent="0.25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</row>
    <row r="684" spans="1:16" ht="10.5" customHeight="1" x14ac:dyDescent="0.25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</row>
    <row r="685" spans="1:16" ht="10.5" customHeight="1" x14ac:dyDescent="0.25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</row>
    <row r="686" spans="1:16" ht="10.5" customHeight="1" x14ac:dyDescent="0.25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</row>
    <row r="687" spans="1:16" ht="10.5" customHeight="1" x14ac:dyDescent="0.25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</row>
    <row r="688" spans="1:16" ht="10.5" customHeight="1" x14ac:dyDescent="0.25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</row>
    <row r="689" spans="1:16" ht="10.5" customHeight="1" x14ac:dyDescent="0.25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</row>
    <row r="690" spans="1:16" ht="10.5" customHeight="1" x14ac:dyDescent="0.25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</row>
    <row r="691" spans="1:16" ht="10.5" customHeight="1" x14ac:dyDescent="0.25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</row>
    <row r="692" spans="1:16" ht="10.5" customHeight="1" x14ac:dyDescent="0.25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</row>
    <row r="693" spans="1:16" ht="10.5" customHeight="1" x14ac:dyDescent="0.25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</row>
    <row r="694" spans="1:16" ht="10.5" customHeight="1" x14ac:dyDescent="0.25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</row>
    <row r="695" spans="1:16" ht="10.5" customHeight="1" x14ac:dyDescent="0.25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</row>
    <row r="696" spans="1:16" ht="10.5" customHeight="1" x14ac:dyDescent="0.25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</row>
    <row r="697" spans="1:16" ht="10.5" customHeight="1" x14ac:dyDescent="0.25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</row>
    <row r="698" spans="1:16" ht="10.5" customHeight="1" x14ac:dyDescent="0.25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</row>
    <row r="699" spans="1:16" ht="10.5" customHeight="1" x14ac:dyDescent="0.25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</row>
    <row r="700" spans="1:16" ht="10.5" customHeight="1" x14ac:dyDescent="0.25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</row>
    <row r="701" spans="1:16" ht="10.5" customHeight="1" x14ac:dyDescent="0.25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</row>
    <row r="702" spans="1:16" ht="10.5" customHeight="1" x14ac:dyDescent="0.25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</row>
    <row r="703" spans="1:16" ht="10.5" customHeight="1" x14ac:dyDescent="0.25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</row>
    <row r="704" spans="1:16" ht="10.5" customHeight="1" x14ac:dyDescent="0.25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</row>
    <row r="705" spans="1:16" ht="10.5" customHeight="1" x14ac:dyDescent="0.25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</row>
    <row r="706" spans="1:16" ht="10.5" customHeight="1" x14ac:dyDescent="0.25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</row>
    <row r="707" spans="1:16" ht="10.5" customHeight="1" x14ac:dyDescent="0.25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</row>
    <row r="708" spans="1:16" ht="10.5" customHeight="1" x14ac:dyDescent="0.25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</row>
    <row r="709" spans="1:16" ht="10.5" customHeight="1" x14ac:dyDescent="0.25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</row>
    <row r="710" spans="1:16" ht="10.5" customHeight="1" x14ac:dyDescent="0.25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</row>
    <row r="711" spans="1:16" ht="10.5" customHeight="1" x14ac:dyDescent="0.25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</row>
    <row r="712" spans="1:16" ht="10.5" customHeight="1" x14ac:dyDescent="0.25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</row>
    <row r="713" spans="1:16" ht="10.5" customHeight="1" x14ac:dyDescent="0.25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</row>
    <row r="714" spans="1:16" ht="10.5" customHeight="1" x14ac:dyDescent="0.25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</row>
    <row r="715" spans="1:16" ht="10.5" customHeight="1" x14ac:dyDescent="0.25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</row>
    <row r="716" spans="1:16" ht="10.5" customHeight="1" x14ac:dyDescent="0.25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</row>
    <row r="717" spans="1:16" ht="10.5" customHeight="1" x14ac:dyDescent="0.25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</row>
    <row r="718" spans="1:16" ht="10.5" customHeight="1" x14ac:dyDescent="0.25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</row>
    <row r="719" spans="1:16" ht="10.5" customHeight="1" x14ac:dyDescent="0.25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</row>
    <row r="720" spans="1:16" ht="10.5" customHeight="1" x14ac:dyDescent="0.25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</row>
    <row r="721" spans="1:16" ht="10.5" customHeight="1" x14ac:dyDescent="0.25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</row>
    <row r="722" spans="1:16" ht="10.5" customHeight="1" x14ac:dyDescent="0.25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</row>
    <row r="723" spans="1:16" ht="10.5" customHeight="1" x14ac:dyDescent="0.25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</row>
    <row r="724" spans="1:16" ht="10.5" customHeight="1" x14ac:dyDescent="0.25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</row>
    <row r="725" spans="1:16" ht="10.5" customHeight="1" x14ac:dyDescent="0.25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</row>
    <row r="726" spans="1:16" ht="10.5" customHeight="1" x14ac:dyDescent="0.25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</row>
    <row r="727" spans="1:16" ht="10.5" customHeight="1" x14ac:dyDescent="0.25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</row>
    <row r="728" spans="1:16" ht="10.5" customHeight="1" x14ac:dyDescent="0.25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</row>
    <row r="729" spans="1:16" ht="10.5" customHeight="1" x14ac:dyDescent="0.2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</row>
    <row r="730" spans="1:16" ht="10.5" customHeight="1" x14ac:dyDescent="0.25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</row>
    <row r="731" spans="1:16" ht="10.5" customHeight="1" x14ac:dyDescent="0.25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</row>
    <row r="732" spans="1:16" ht="10.5" customHeight="1" x14ac:dyDescent="0.25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</row>
    <row r="733" spans="1:16" ht="10.5" customHeight="1" x14ac:dyDescent="0.25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</row>
    <row r="734" spans="1:16" ht="10.5" customHeight="1" x14ac:dyDescent="0.25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</row>
    <row r="735" spans="1:16" ht="10.5" customHeight="1" x14ac:dyDescent="0.25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</row>
    <row r="736" spans="1:16" ht="10.5" customHeight="1" x14ac:dyDescent="0.25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</row>
    <row r="737" spans="1:16" ht="10.5" customHeight="1" x14ac:dyDescent="0.25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</row>
    <row r="738" spans="1:16" ht="10.5" customHeight="1" x14ac:dyDescent="0.25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</row>
    <row r="739" spans="1:16" ht="10.5" customHeight="1" x14ac:dyDescent="0.25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</row>
    <row r="740" spans="1:16" ht="10.5" customHeight="1" x14ac:dyDescent="0.25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</row>
    <row r="741" spans="1:16" ht="10.5" customHeight="1" x14ac:dyDescent="0.25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</row>
    <row r="742" spans="1:16" ht="10.5" customHeight="1" x14ac:dyDescent="0.25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</row>
    <row r="743" spans="1:16" ht="10.5" customHeight="1" x14ac:dyDescent="0.25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</row>
    <row r="744" spans="1:16" ht="10.5" customHeight="1" x14ac:dyDescent="0.25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</row>
    <row r="745" spans="1:16" ht="10.5" customHeight="1" x14ac:dyDescent="0.25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</row>
    <row r="746" spans="1:16" ht="10.5" customHeight="1" x14ac:dyDescent="0.25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</row>
    <row r="747" spans="1:16" ht="10.5" customHeight="1" x14ac:dyDescent="0.25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</row>
    <row r="748" spans="1:16" ht="10.5" customHeight="1" x14ac:dyDescent="0.25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</row>
    <row r="749" spans="1:16" ht="10.5" customHeight="1" x14ac:dyDescent="0.25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</row>
    <row r="750" spans="1:16" ht="10.5" customHeight="1" x14ac:dyDescent="0.25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</row>
    <row r="751" spans="1:16" ht="10.5" customHeight="1" x14ac:dyDescent="0.25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</row>
    <row r="752" spans="1:16" ht="10.5" customHeight="1" x14ac:dyDescent="0.25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</row>
    <row r="753" spans="1:16" ht="10.5" customHeight="1" x14ac:dyDescent="0.25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</row>
    <row r="754" spans="1:16" ht="10.5" customHeight="1" x14ac:dyDescent="0.25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</row>
    <row r="755" spans="1:16" ht="10.5" customHeight="1" x14ac:dyDescent="0.25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</row>
    <row r="756" spans="1:16" ht="10.5" customHeight="1" x14ac:dyDescent="0.25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</row>
    <row r="757" spans="1:16" ht="10.5" customHeight="1" x14ac:dyDescent="0.25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</row>
    <row r="758" spans="1:16" ht="10.5" customHeight="1" x14ac:dyDescent="0.25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</row>
    <row r="759" spans="1:16" ht="10.5" customHeight="1" x14ac:dyDescent="0.25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</row>
    <row r="760" spans="1:16" ht="10.5" customHeight="1" x14ac:dyDescent="0.25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</row>
    <row r="761" spans="1:16" ht="10.5" customHeight="1" x14ac:dyDescent="0.25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</row>
    <row r="762" spans="1:16" ht="10.5" customHeight="1" x14ac:dyDescent="0.25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</row>
    <row r="763" spans="1:16" ht="10.5" customHeight="1" x14ac:dyDescent="0.25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</row>
    <row r="764" spans="1:16" ht="10.5" customHeight="1" x14ac:dyDescent="0.25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</row>
    <row r="765" spans="1:16" ht="10.5" customHeight="1" x14ac:dyDescent="0.25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</row>
    <row r="766" spans="1:16" ht="10.5" customHeight="1" x14ac:dyDescent="0.25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</row>
    <row r="767" spans="1:16" ht="10.5" customHeight="1" x14ac:dyDescent="0.25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</row>
    <row r="768" spans="1:16" ht="10.5" customHeight="1" x14ac:dyDescent="0.25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</row>
    <row r="769" spans="1:16" ht="10.5" customHeight="1" x14ac:dyDescent="0.25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</row>
    <row r="770" spans="1:16" ht="10.5" customHeight="1" x14ac:dyDescent="0.25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</row>
    <row r="771" spans="1:16" ht="10.5" customHeight="1" x14ac:dyDescent="0.25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</row>
    <row r="772" spans="1:16" ht="10.5" customHeight="1" x14ac:dyDescent="0.25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</row>
    <row r="773" spans="1:16" ht="10.5" customHeight="1" x14ac:dyDescent="0.25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</row>
    <row r="774" spans="1:16" ht="10.5" customHeight="1" x14ac:dyDescent="0.25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</row>
    <row r="775" spans="1:16" ht="10.5" customHeight="1" x14ac:dyDescent="0.25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</row>
    <row r="776" spans="1:16" ht="10.5" customHeight="1" x14ac:dyDescent="0.25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</row>
    <row r="777" spans="1:16" ht="10.5" customHeight="1" x14ac:dyDescent="0.25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</row>
    <row r="778" spans="1:16" ht="10.5" customHeight="1" x14ac:dyDescent="0.25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</row>
    <row r="779" spans="1:16" ht="10.5" customHeight="1" x14ac:dyDescent="0.25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</row>
    <row r="780" spans="1:16" ht="10.5" customHeight="1" x14ac:dyDescent="0.25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</row>
    <row r="781" spans="1:16" ht="10.5" customHeight="1" x14ac:dyDescent="0.2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</row>
    <row r="782" spans="1:16" ht="10.5" customHeight="1" x14ac:dyDescent="0.25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</row>
    <row r="783" spans="1:16" ht="10.5" customHeight="1" x14ac:dyDescent="0.25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</row>
    <row r="784" spans="1:16" ht="10.5" customHeight="1" x14ac:dyDescent="0.25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</row>
    <row r="785" spans="1:16" ht="10.5" customHeight="1" x14ac:dyDescent="0.25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</row>
    <row r="786" spans="1:16" ht="10.5" customHeight="1" x14ac:dyDescent="0.25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</row>
    <row r="787" spans="1:16" ht="10.5" customHeight="1" x14ac:dyDescent="0.25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</row>
    <row r="788" spans="1:16" ht="10.5" customHeight="1" x14ac:dyDescent="0.25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</row>
    <row r="789" spans="1:16" ht="10.5" customHeight="1" x14ac:dyDescent="0.25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</row>
    <row r="790" spans="1:16" ht="10.5" customHeight="1" x14ac:dyDescent="0.25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</row>
    <row r="791" spans="1:16" ht="10.5" customHeight="1" x14ac:dyDescent="0.25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</row>
    <row r="792" spans="1:16" ht="10.5" customHeight="1" x14ac:dyDescent="0.25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</row>
    <row r="793" spans="1:16" ht="10.5" customHeight="1" x14ac:dyDescent="0.25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</row>
    <row r="794" spans="1:16" ht="10.5" customHeight="1" x14ac:dyDescent="0.25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</row>
    <row r="795" spans="1:16" ht="10.5" customHeight="1" x14ac:dyDescent="0.25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</row>
    <row r="796" spans="1:16" ht="10.5" customHeight="1" x14ac:dyDescent="0.25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</row>
    <row r="797" spans="1:16" ht="10.5" customHeight="1" x14ac:dyDescent="0.25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</row>
    <row r="798" spans="1:16" ht="10.5" customHeight="1" x14ac:dyDescent="0.25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</row>
    <row r="799" spans="1:16" ht="10.5" customHeight="1" x14ac:dyDescent="0.25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</row>
    <row r="800" spans="1:16" ht="10.5" customHeight="1" x14ac:dyDescent="0.25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</row>
    <row r="801" spans="1:16" ht="10.5" customHeight="1" x14ac:dyDescent="0.25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</row>
    <row r="802" spans="1:16" ht="10.5" customHeight="1" x14ac:dyDescent="0.25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</row>
    <row r="803" spans="1:16" ht="10.5" customHeight="1" x14ac:dyDescent="0.25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</row>
    <row r="804" spans="1:16" ht="10.5" customHeight="1" x14ac:dyDescent="0.25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</row>
    <row r="805" spans="1:16" ht="10.5" customHeight="1" x14ac:dyDescent="0.25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</row>
    <row r="806" spans="1:16" ht="10.5" customHeight="1" x14ac:dyDescent="0.25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</row>
    <row r="807" spans="1:16" ht="10.5" customHeight="1" x14ac:dyDescent="0.25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</row>
    <row r="808" spans="1:16" ht="10.5" customHeight="1" x14ac:dyDescent="0.25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</row>
    <row r="809" spans="1:16" ht="10.5" customHeight="1" x14ac:dyDescent="0.25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</row>
    <row r="810" spans="1:16" ht="10.5" customHeight="1" x14ac:dyDescent="0.25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</row>
    <row r="811" spans="1:16" ht="10.5" customHeight="1" x14ac:dyDescent="0.25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</row>
    <row r="812" spans="1:16" ht="10.5" customHeight="1" x14ac:dyDescent="0.25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</row>
    <row r="813" spans="1:16" ht="10.5" customHeight="1" x14ac:dyDescent="0.25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</row>
    <row r="814" spans="1:16" ht="10.5" customHeight="1" x14ac:dyDescent="0.25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</row>
    <row r="815" spans="1:16" ht="10.5" customHeight="1" x14ac:dyDescent="0.25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</row>
    <row r="816" spans="1:16" ht="10.5" customHeight="1" x14ac:dyDescent="0.25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</row>
    <row r="817" spans="1:16" ht="10.5" customHeight="1" x14ac:dyDescent="0.25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</row>
    <row r="818" spans="1:16" ht="10.5" customHeight="1" x14ac:dyDescent="0.25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</row>
    <row r="819" spans="1:16" ht="10.5" customHeight="1" x14ac:dyDescent="0.25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</row>
    <row r="820" spans="1:16" ht="10.5" customHeight="1" x14ac:dyDescent="0.25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</row>
    <row r="821" spans="1:16" ht="10.5" customHeight="1" x14ac:dyDescent="0.25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</row>
    <row r="822" spans="1:16" ht="10.5" customHeight="1" x14ac:dyDescent="0.25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</row>
    <row r="823" spans="1:16" ht="10.5" customHeight="1" x14ac:dyDescent="0.25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</row>
    <row r="824" spans="1:16" ht="10.5" customHeight="1" x14ac:dyDescent="0.25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</row>
    <row r="825" spans="1:16" ht="10.5" customHeight="1" x14ac:dyDescent="0.25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</row>
    <row r="826" spans="1:16" ht="10.5" customHeight="1" x14ac:dyDescent="0.25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</row>
    <row r="827" spans="1:16" ht="10.5" customHeight="1" x14ac:dyDescent="0.25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</row>
    <row r="828" spans="1:16" ht="10.5" customHeight="1" x14ac:dyDescent="0.25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</row>
    <row r="829" spans="1:16" ht="10.5" customHeight="1" x14ac:dyDescent="0.25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</row>
    <row r="830" spans="1:16" ht="10.5" customHeight="1" x14ac:dyDescent="0.25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</row>
    <row r="831" spans="1:16" ht="10.5" customHeight="1" x14ac:dyDescent="0.25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</row>
    <row r="832" spans="1:16" ht="10.5" customHeight="1" x14ac:dyDescent="0.25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</row>
    <row r="833" spans="1:16" ht="10.5" customHeight="1" x14ac:dyDescent="0.2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</row>
    <row r="834" spans="1:16" ht="10.5" customHeight="1" x14ac:dyDescent="0.25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</row>
    <row r="835" spans="1:16" ht="10.5" customHeight="1" x14ac:dyDescent="0.25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</row>
    <row r="836" spans="1:16" ht="10.5" customHeight="1" x14ac:dyDescent="0.25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</row>
    <row r="837" spans="1:16" ht="10.5" customHeight="1" x14ac:dyDescent="0.25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</row>
    <row r="838" spans="1:16" ht="10.5" customHeight="1" x14ac:dyDescent="0.25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</row>
    <row r="839" spans="1:16" ht="10.5" customHeight="1" x14ac:dyDescent="0.25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</row>
    <row r="840" spans="1:16" ht="10.5" customHeight="1" x14ac:dyDescent="0.25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</row>
    <row r="841" spans="1:16" ht="10.5" customHeight="1" x14ac:dyDescent="0.25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</row>
    <row r="842" spans="1:16" ht="10.5" customHeight="1" x14ac:dyDescent="0.25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</row>
    <row r="843" spans="1:16" ht="10.5" customHeight="1" x14ac:dyDescent="0.25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</row>
    <row r="844" spans="1:16" ht="10.5" customHeight="1" x14ac:dyDescent="0.25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</row>
    <row r="845" spans="1:16" ht="10.5" customHeight="1" x14ac:dyDescent="0.25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</row>
    <row r="846" spans="1:16" ht="10.5" customHeight="1" x14ac:dyDescent="0.25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</row>
    <row r="847" spans="1:16" ht="10.5" customHeight="1" x14ac:dyDescent="0.25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</row>
    <row r="848" spans="1:16" ht="10.5" customHeight="1" x14ac:dyDescent="0.25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</row>
    <row r="849" spans="1:16" ht="10.5" customHeight="1" x14ac:dyDescent="0.25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</row>
    <row r="850" spans="1:16" ht="10.5" customHeight="1" x14ac:dyDescent="0.25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</row>
    <row r="851" spans="1:16" ht="10.5" customHeight="1" x14ac:dyDescent="0.25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</row>
    <row r="852" spans="1:16" ht="10.5" customHeight="1" x14ac:dyDescent="0.25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</row>
    <row r="853" spans="1:16" ht="10.5" customHeight="1" x14ac:dyDescent="0.25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</row>
    <row r="854" spans="1:16" ht="10.5" customHeight="1" x14ac:dyDescent="0.25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</row>
    <row r="855" spans="1:16" ht="10.5" customHeight="1" x14ac:dyDescent="0.25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</row>
    <row r="856" spans="1:16" ht="10.5" customHeight="1" x14ac:dyDescent="0.25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</row>
    <row r="857" spans="1:16" ht="10.5" customHeight="1" x14ac:dyDescent="0.25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</row>
    <row r="858" spans="1:16" ht="10.5" customHeight="1" x14ac:dyDescent="0.25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</row>
    <row r="859" spans="1:16" ht="10.5" customHeight="1" x14ac:dyDescent="0.25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</row>
    <row r="860" spans="1:16" ht="10.5" customHeight="1" x14ac:dyDescent="0.25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</row>
    <row r="861" spans="1:16" ht="10.5" customHeight="1" x14ac:dyDescent="0.25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</row>
    <row r="862" spans="1:16" ht="10.5" customHeight="1" x14ac:dyDescent="0.25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</row>
    <row r="863" spans="1:16" ht="10.5" customHeight="1" x14ac:dyDescent="0.25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</row>
    <row r="864" spans="1:16" ht="10.5" customHeight="1" x14ac:dyDescent="0.25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</row>
    <row r="865" spans="1:16" ht="10.5" customHeight="1" x14ac:dyDescent="0.25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</row>
    <row r="866" spans="1:16" ht="10.5" customHeight="1" x14ac:dyDescent="0.25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</row>
    <row r="867" spans="1:16" ht="10.5" customHeight="1" x14ac:dyDescent="0.25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</row>
    <row r="868" spans="1:16" ht="10.5" customHeight="1" x14ac:dyDescent="0.25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</row>
    <row r="869" spans="1:16" ht="10.5" customHeight="1" x14ac:dyDescent="0.25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</row>
    <row r="870" spans="1:16" ht="10.5" customHeight="1" x14ac:dyDescent="0.25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</row>
    <row r="871" spans="1:16" ht="10.5" customHeight="1" x14ac:dyDescent="0.25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</row>
    <row r="872" spans="1:16" ht="10.5" customHeight="1" x14ac:dyDescent="0.25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</row>
    <row r="873" spans="1:16" ht="10.5" customHeight="1" x14ac:dyDescent="0.25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</row>
    <row r="874" spans="1:16" ht="10.5" customHeight="1" x14ac:dyDescent="0.25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</row>
    <row r="875" spans="1:16" ht="10.5" customHeight="1" x14ac:dyDescent="0.25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</row>
    <row r="876" spans="1:16" ht="10.5" customHeight="1" x14ac:dyDescent="0.25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</row>
    <row r="877" spans="1:16" ht="10.5" customHeight="1" x14ac:dyDescent="0.25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</row>
    <row r="878" spans="1:16" ht="10.5" customHeight="1" x14ac:dyDescent="0.25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</row>
    <row r="879" spans="1:16" ht="10.5" customHeight="1" x14ac:dyDescent="0.25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</row>
    <row r="880" spans="1:16" ht="10.5" customHeight="1" x14ac:dyDescent="0.25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</row>
    <row r="881" spans="1:16" ht="10.5" customHeight="1" x14ac:dyDescent="0.25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</row>
    <row r="882" spans="1:16" ht="10.5" customHeight="1" x14ac:dyDescent="0.25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</row>
    <row r="883" spans="1:16" ht="10.5" customHeight="1" x14ac:dyDescent="0.25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</row>
    <row r="884" spans="1:16" ht="10.5" customHeight="1" x14ac:dyDescent="0.25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</row>
    <row r="885" spans="1:16" ht="10.5" customHeight="1" x14ac:dyDescent="0.2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</row>
    <row r="886" spans="1:16" ht="10.5" customHeight="1" x14ac:dyDescent="0.25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</row>
    <row r="887" spans="1:16" ht="10.5" customHeight="1" x14ac:dyDescent="0.25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</row>
    <row r="888" spans="1:16" ht="10.5" customHeight="1" x14ac:dyDescent="0.25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</row>
    <row r="889" spans="1:16" ht="10.5" customHeight="1" x14ac:dyDescent="0.25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</row>
    <row r="890" spans="1:16" ht="10.5" customHeight="1" x14ac:dyDescent="0.25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</row>
    <row r="891" spans="1:16" ht="10.5" customHeight="1" x14ac:dyDescent="0.25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</row>
    <row r="892" spans="1:16" ht="10.5" customHeight="1" x14ac:dyDescent="0.25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</row>
    <row r="893" spans="1:16" ht="10.5" customHeight="1" x14ac:dyDescent="0.25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</row>
    <row r="894" spans="1:16" ht="10.5" customHeight="1" x14ac:dyDescent="0.25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</row>
    <row r="895" spans="1:16" ht="10.5" customHeight="1" x14ac:dyDescent="0.25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</row>
    <row r="896" spans="1:16" ht="10.5" customHeight="1" x14ac:dyDescent="0.25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</row>
    <row r="897" spans="1:16" ht="10.5" customHeight="1" x14ac:dyDescent="0.25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</row>
    <row r="898" spans="1:16" ht="10.5" customHeight="1" x14ac:dyDescent="0.25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</row>
    <row r="899" spans="1:16" ht="10.5" customHeight="1" x14ac:dyDescent="0.25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</row>
    <row r="900" spans="1:16" ht="10.5" customHeight="1" x14ac:dyDescent="0.25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</row>
    <row r="901" spans="1:16" ht="10.5" customHeight="1" x14ac:dyDescent="0.25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</row>
    <row r="902" spans="1:16" ht="10.5" customHeight="1" x14ac:dyDescent="0.25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</row>
    <row r="903" spans="1:16" ht="10.5" customHeight="1" x14ac:dyDescent="0.25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</row>
    <row r="904" spans="1:16" ht="10.5" customHeight="1" x14ac:dyDescent="0.25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</row>
    <row r="905" spans="1:16" ht="10.5" customHeight="1" x14ac:dyDescent="0.25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</row>
    <row r="906" spans="1:16" ht="10.5" customHeight="1" x14ac:dyDescent="0.25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</row>
    <row r="907" spans="1:16" ht="10.5" customHeight="1" x14ac:dyDescent="0.25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</row>
    <row r="908" spans="1:16" ht="10.5" customHeight="1" x14ac:dyDescent="0.25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</row>
    <row r="909" spans="1:16" ht="10.5" customHeight="1" x14ac:dyDescent="0.25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</row>
    <row r="910" spans="1:16" ht="10.5" customHeight="1" x14ac:dyDescent="0.25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</row>
    <row r="911" spans="1:16" ht="10.5" customHeight="1" x14ac:dyDescent="0.25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</row>
    <row r="912" spans="1:16" ht="10.5" customHeight="1" x14ac:dyDescent="0.25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</row>
    <row r="913" spans="1:16" ht="10.5" customHeight="1" x14ac:dyDescent="0.25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</row>
    <row r="914" spans="1:16" ht="10.5" customHeight="1" x14ac:dyDescent="0.25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</row>
    <row r="915" spans="1:16" ht="10.5" customHeight="1" x14ac:dyDescent="0.25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</row>
    <row r="916" spans="1:16" ht="10.5" customHeight="1" x14ac:dyDescent="0.25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</row>
    <row r="917" spans="1:16" ht="10.5" customHeight="1" x14ac:dyDescent="0.25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</row>
    <row r="918" spans="1:16" ht="10.5" customHeight="1" x14ac:dyDescent="0.25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</row>
    <row r="919" spans="1:16" ht="10.5" customHeight="1" x14ac:dyDescent="0.25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</row>
    <row r="920" spans="1:16" ht="10.5" customHeight="1" x14ac:dyDescent="0.25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</row>
    <row r="921" spans="1:16" ht="10.5" customHeight="1" x14ac:dyDescent="0.25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</row>
    <row r="922" spans="1:16" ht="10.5" customHeight="1" x14ac:dyDescent="0.25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</row>
    <row r="923" spans="1:16" ht="10.5" customHeight="1" x14ac:dyDescent="0.25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</row>
    <row r="924" spans="1:16" ht="10.5" customHeight="1" x14ac:dyDescent="0.25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</row>
    <row r="925" spans="1:16" ht="10.5" customHeight="1" x14ac:dyDescent="0.25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</row>
    <row r="926" spans="1:16" ht="10.5" customHeight="1" x14ac:dyDescent="0.25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</row>
    <row r="927" spans="1:16" ht="10.5" customHeight="1" x14ac:dyDescent="0.25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</row>
    <row r="928" spans="1:16" ht="10.5" customHeight="1" x14ac:dyDescent="0.25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</row>
    <row r="929" spans="1:16" ht="10.5" customHeight="1" x14ac:dyDescent="0.25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</row>
    <row r="930" spans="1:16" ht="10.5" customHeight="1" x14ac:dyDescent="0.25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</row>
    <row r="931" spans="1:16" ht="10.5" customHeight="1" x14ac:dyDescent="0.25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</row>
    <row r="932" spans="1:16" ht="10.5" customHeight="1" x14ac:dyDescent="0.25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</row>
    <row r="933" spans="1:16" ht="10.5" customHeight="1" x14ac:dyDescent="0.25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</row>
    <row r="934" spans="1:16" ht="10.5" customHeight="1" x14ac:dyDescent="0.25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</row>
    <row r="935" spans="1:16" ht="10.5" customHeight="1" x14ac:dyDescent="0.25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</row>
    <row r="936" spans="1:16" ht="10.5" customHeight="1" x14ac:dyDescent="0.25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</row>
    <row r="937" spans="1:16" ht="10.5" customHeight="1" x14ac:dyDescent="0.2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</row>
    <row r="938" spans="1:16" ht="10.5" customHeight="1" x14ac:dyDescent="0.25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</row>
    <row r="939" spans="1:16" ht="10.5" customHeight="1" x14ac:dyDescent="0.25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</row>
    <row r="940" spans="1:16" ht="10.5" customHeight="1" x14ac:dyDescent="0.25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</row>
    <row r="941" spans="1:16" ht="10.5" customHeight="1" x14ac:dyDescent="0.25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</row>
    <row r="942" spans="1:16" ht="10.5" customHeight="1" x14ac:dyDescent="0.25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</row>
    <row r="943" spans="1:16" ht="10.5" customHeight="1" x14ac:dyDescent="0.25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</row>
    <row r="944" spans="1:16" ht="10.5" customHeight="1" x14ac:dyDescent="0.25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</row>
    <row r="945" spans="1:16" ht="10.5" customHeight="1" x14ac:dyDescent="0.25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</row>
    <row r="946" spans="1:16" ht="10.5" customHeight="1" x14ac:dyDescent="0.25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</row>
    <row r="947" spans="1:16" ht="10.5" customHeight="1" x14ac:dyDescent="0.25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</row>
    <row r="948" spans="1:16" ht="10.5" customHeight="1" x14ac:dyDescent="0.25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</row>
    <row r="949" spans="1:16" ht="10.5" customHeight="1" x14ac:dyDescent="0.25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</row>
    <row r="950" spans="1:16" ht="10.5" customHeight="1" x14ac:dyDescent="0.25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</row>
    <row r="951" spans="1:16" ht="10.5" customHeight="1" x14ac:dyDescent="0.25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</row>
    <row r="952" spans="1:16" ht="10.5" customHeight="1" x14ac:dyDescent="0.25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</row>
    <row r="953" spans="1:16" ht="10.5" customHeight="1" x14ac:dyDescent="0.25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</row>
    <row r="954" spans="1:16" ht="10.5" customHeight="1" x14ac:dyDescent="0.25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</row>
    <row r="955" spans="1:16" ht="10.5" customHeight="1" x14ac:dyDescent="0.25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</row>
    <row r="956" spans="1:16" ht="10.5" customHeight="1" x14ac:dyDescent="0.25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</row>
    <row r="957" spans="1:16" ht="10.5" customHeight="1" x14ac:dyDescent="0.25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</row>
    <row r="958" spans="1:16" ht="10.5" customHeight="1" x14ac:dyDescent="0.25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</row>
    <row r="959" spans="1:16" ht="10.5" customHeight="1" x14ac:dyDescent="0.25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</row>
    <row r="960" spans="1:16" ht="10.5" customHeight="1" x14ac:dyDescent="0.25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</row>
    <row r="961" spans="1:16" ht="10.5" customHeight="1" x14ac:dyDescent="0.25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</row>
    <row r="962" spans="1:16" ht="10.5" customHeight="1" x14ac:dyDescent="0.25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</row>
    <row r="963" spans="1:16" ht="10.5" customHeight="1" x14ac:dyDescent="0.25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</row>
    <row r="964" spans="1:16" ht="10.5" customHeight="1" x14ac:dyDescent="0.25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</row>
    <row r="965" spans="1:16" ht="10.5" customHeight="1" x14ac:dyDescent="0.25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</row>
    <row r="966" spans="1:16" ht="10.5" customHeight="1" x14ac:dyDescent="0.25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</row>
    <row r="967" spans="1:16" ht="10.5" customHeight="1" x14ac:dyDescent="0.25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</row>
    <row r="968" spans="1:16" ht="10.5" customHeight="1" x14ac:dyDescent="0.25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</row>
    <row r="969" spans="1:16" ht="10.5" customHeight="1" x14ac:dyDescent="0.25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</row>
    <row r="970" spans="1:16" ht="10.5" customHeight="1" x14ac:dyDescent="0.25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</row>
    <row r="971" spans="1:16" ht="10.5" customHeight="1" x14ac:dyDescent="0.25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</row>
    <row r="972" spans="1:16" ht="10.5" customHeight="1" x14ac:dyDescent="0.25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</row>
    <row r="973" spans="1:16" ht="10.5" customHeight="1" x14ac:dyDescent="0.25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</row>
    <row r="974" spans="1:16" ht="10.5" customHeight="1" x14ac:dyDescent="0.25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</row>
    <row r="975" spans="1:16" ht="10.5" customHeight="1" x14ac:dyDescent="0.25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</row>
    <row r="976" spans="1:16" ht="10.5" customHeight="1" x14ac:dyDescent="0.25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</row>
    <row r="977" spans="1:16" ht="10.5" customHeight="1" x14ac:dyDescent="0.25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</row>
    <row r="978" spans="1:16" ht="10.5" customHeight="1" x14ac:dyDescent="0.25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</row>
    <row r="979" spans="1:16" ht="10.5" customHeight="1" x14ac:dyDescent="0.25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</row>
    <row r="980" spans="1:16" ht="10.5" customHeight="1" x14ac:dyDescent="0.25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</row>
    <row r="981" spans="1:16" ht="10.5" customHeight="1" x14ac:dyDescent="0.25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</row>
    <row r="982" spans="1:16" ht="10.5" customHeight="1" x14ac:dyDescent="0.25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</row>
    <row r="983" spans="1:16" ht="10.5" customHeight="1" x14ac:dyDescent="0.25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</row>
    <row r="984" spans="1:16" ht="10.5" customHeight="1" x14ac:dyDescent="0.25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</row>
    <row r="985" spans="1:16" ht="10.5" customHeight="1" x14ac:dyDescent="0.25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</row>
    <row r="986" spans="1:16" ht="10.5" customHeight="1" x14ac:dyDescent="0.25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</row>
    <row r="987" spans="1:16" ht="10.5" customHeight="1" x14ac:dyDescent="0.25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</row>
    <row r="988" spans="1:16" ht="10.5" customHeight="1" x14ac:dyDescent="0.25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</row>
    <row r="989" spans="1:16" ht="10.5" customHeight="1" x14ac:dyDescent="0.2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</row>
    <row r="990" spans="1:16" ht="10.5" customHeight="1" x14ac:dyDescent="0.25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</row>
    <row r="991" spans="1:16" ht="10.5" customHeight="1" x14ac:dyDescent="0.25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</row>
    <row r="992" spans="1:16" ht="10.5" customHeight="1" x14ac:dyDescent="0.25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</row>
    <row r="993" spans="1:16" ht="10.5" customHeight="1" x14ac:dyDescent="0.25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</row>
    <row r="994" spans="1:16" ht="10.5" customHeight="1" x14ac:dyDescent="0.25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</row>
    <row r="995" spans="1:16" ht="10.5" customHeight="1" x14ac:dyDescent="0.25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</row>
    <row r="996" spans="1:16" ht="10.5" customHeight="1" x14ac:dyDescent="0.25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</row>
    <row r="997" spans="1:16" ht="10.5" customHeight="1" x14ac:dyDescent="0.25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</row>
  </sheetData>
  <dataConsolidate/>
  <mergeCells count="12">
    <mergeCell ref="B30:I30"/>
    <mergeCell ref="A26:A28"/>
    <mergeCell ref="A1:G1"/>
    <mergeCell ref="B15:D15"/>
    <mergeCell ref="B16:C16"/>
    <mergeCell ref="B26:I28"/>
    <mergeCell ref="B3:F3"/>
    <mergeCell ref="B4:F4"/>
    <mergeCell ref="B5:F5"/>
    <mergeCell ref="B6:F6"/>
    <mergeCell ref="B7:F7"/>
    <mergeCell ref="A2:G2"/>
  </mergeCells>
  <phoneticPr fontId="21" type="noConversion"/>
  <dataValidations disablePrompts="1" count="3">
    <dataValidation type="list" allowBlank="1" showInputMessage="1" showErrorMessage="1" errorTitle="NO EXISTE ESA CLASE" error="SÓLO MAYÚSCULAS" sqref="B12:B13" xr:uid="{00000000-0002-0000-0000-000001000000}">
      <formula1>"A,B,C,D,E,F,G,H,,I"</formula1>
    </dataValidation>
    <dataValidation type="list" allowBlank="1" showInputMessage="1" showErrorMessage="1" errorTitle="NO EXISTE ESA CLASE" error="SÓLO MAYÚSCULAS" sqref="B11" xr:uid="{00000000-0002-0000-0000-000002000000}">
      <formula1>"A,B,C,D,E,F,G,H,I"</formula1>
    </dataValidation>
    <dataValidation type="list" allowBlank="1" showInputMessage="1" showErrorMessage="1" sqref="C11:C13" xr:uid="{00000000-0002-0000-0000-000000000000}">
      <formula1>"1,2,3,4,5"</formula1>
    </dataValidation>
  </dataValidations>
  <pageMargins left="0.27559055118110198" right="0.15748031496063" top="0.39370078740157499" bottom="0.39370078740157499" header="0" footer="0"/>
  <pageSetup orientation="portrait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Button 9">
              <controlPr defaultSize="0" print="0" autoFill="0" autoPict="0" macro="[0]!EMAIL">
                <anchor moveWithCells="1" sizeWithCells="1">
                  <from>
                    <xdr:col>9</xdr:col>
                    <xdr:colOff>137160</xdr:colOff>
                    <xdr:row>1</xdr:row>
                    <xdr:rowOff>152400</xdr:rowOff>
                  </from>
                  <to>
                    <xdr:col>10</xdr:col>
                    <xdr:colOff>480060</xdr:colOff>
                    <xdr:row>2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tabColor rgb="FF0F192C"/>
  </sheetPr>
  <dimension ref="A1:M25"/>
  <sheetViews>
    <sheetView topLeftCell="A10" zoomScale="115" zoomScaleNormal="115" zoomScalePageLayoutView="200" workbookViewId="0">
      <selection activeCell="L19" sqref="L19"/>
    </sheetView>
  </sheetViews>
  <sheetFormatPr baseColWidth="10" defaultColWidth="14.44140625" defaultRowHeight="15" customHeight="1" x14ac:dyDescent="0.25"/>
  <cols>
    <col min="1" max="1" width="9" style="24" customWidth="1"/>
    <col min="2" max="2" width="18.6640625" style="24" bestFit="1" customWidth="1"/>
    <col min="3" max="3" width="10.88671875" style="24" customWidth="1"/>
    <col min="4" max="4" width="10.109375" style="24" customWidth="1"/>
    <col min="5" max="5" width="7.44140625" style="24" customWidth="1"/>
    <col min="6" max="6" width="6.33203125" style="24" customWidth="1"/>
    <col min="7" max="7" width="6.44140625" style="24" customWidth="1"/>
    <col min="8" max="8" width="7.44140625" style="24" customWidth="1"/>
    <col min="9" max="9" width="9.6640625" style="24" bestFit="1" customWidth="1"/>
    <col min="10" max="11" width="7.44140625" style="24" customWidth="1"/>
    <col min="12" max="12" width="62.6640625" style="24" bestFit="1" customWidth="1"/>
    <col min="13" max="13" width="194" style="24" bestFit="1" customWidth="1"/>
    <col min="14" max="16384" width="14.44140625" style="24"/>
  </cols>
  <sheetData>
    <row r="1" spans="1:13" ht="24.9" customHeight="1" x14ac:dyDescent="0.4">
      <c r="A1"/>
      <c r="B1" s="143"/>
      <c r="C1" s="205" t="s">
        <v>42</v>
      </c>
      <c r="D1" s="205"/>
      <c r="E1" s="205"/>
      <c r="F1" s="205"/>
      <c r="G1" s="205"/>
      <c r="H1" s="205"/>
      <c r="I1" s="205"/>
      <c r="J1" s="205"/>
      <c r="K1" s="205"/>
      <c r="L1" s="205"/>
    </row>
    <row r="2" spans="1:13" ht="24.9" customHeight="1" x14ac:dyDescent="0.25">
      <c r="A2" s="139"/>
      <c r="B2" s="139"/>
      <c r="C2" s="154"/>
      <c r="D2" s="154"/>
      <c r="E2" s="154"/>
      <c r="F2" s="154"/>
      <c r="G2" s="154"/>
      <c r="H2" s="154"/>
      <c r="I2" s="154"/>
      <c r="J2" s="154"/>
      <c r="K2" s="138"/>
      <c r="L2" s="138"/>
    </row>
    <row r="3" spans="1:13" ht="12" customHeight="1" x14ac:dyDescent="0.25">
      <c r="A3" s="28"/>
      <c r="B3" s="59"/>
      <c r="C3" s="28"/>
      <c r="D3" s="28"/>
      <c r="E3" s="28"/>
      <c r="F3" s="28"/>
      <c r="G3" s="28"/>
      <c r="H3" s="28"/>
      <c r="I3" s="28"/>
      <c r="J3" s="25"/>
    </row>
    <row r="4" spans="1:13" ht="14.1" customHeight="1" x14ac:dyDescent="0.25">
      <c r="A4" s="28"/>
      <c r="B4" s="59"/>
      <c r="C4" s="155" t="s">
        <v>43</v>
      </c>
      <c r="D4" s="28"/>
      <c r="E4" s="188"/>
      <c r="F4" s="188"/>
      <c r="G4" s="188"/>
      <c r="H4" s="188"/>
      <c r="I4" s="188"/>
      <c r="J4" s="105"/>
      <c r="K4" s="105"/>
    </row>
    <row r="5" spans="1:13" ht="14.1" customHeight="1" x14ac:dyDescent="0.25">
      <c r="A5" s="156"/>
      <c r="B5" s="156"/>
      <c r="C5" s="157"/>
      <c r="D5" s="157"/>
      <c r="E5" s="157"/>
      <c r="F5" s="157"/>
      <c r="G5" s="157"/>
      <c r="H5" s="157"/>
      <c r="I5" s="157"/>
      <c r="J5" s="158"/>
    </row>
    <row r="6" spans="1:13" ht="12" customHeight="1" x14ac:dyDescent="0.25">
      <c r="A6" s="23"/>
      <c r="B6" s="159"/>
      <c r="C6" s="28"/>
      <c r="D6" s="28"/>
      <c r="E6" s="28"/>
      <c r="F6" s="28"/>
      <c r="G6" s="28"/>
      <c r="H6" s="28"/>
      <c r="I6" s="28"/>
      <c r="J6" s="25"/>
    </row>
    <row r="7" spans="1:13" ht="12" customHeight="1" x14ac:dyDescent="0.25">
      <c r="A7" s="157" t="s">
        <v>44</v>
      </c>
      <c r="B7" s="160"/>
      <c r="C7" s="28"/>
      <c r="D7" s="28"/>
      <c r="E7" s="28"/>
      <c r="F7" s="28"/>
      <c r="G7" s="28"/>
      <c r="H7" s="161"/>
      <c r="I7" s="28"/>
      <c r="J7" s="25"/>
    </row>
    <row r="8" spans="1:13" ht="12" customHeight="1" x14ac:dyDescent="0.25">
      <c r="A8" s="59"/>
      <c r="B8" s="59"/>
      <c r="C8" s="28"/>
      <c r="D8" s="28"/>
      <c r="E8" s="28"/>
      <c r="F8" s="28"/>
      <c r="G8" s="28"/>
      <c r="H8" s="28"/>
      <c r="I8" s="162"/>
      <c r="J8" s="25"/>
    </row>
    <row r="9" spans="1:13" ht="11.25" customHeight="1" x14ac:dyDescent="0.25">
      <c r="A9" s="23"/>
      <c r="B9" s="59"/>
      <c r="C9" s="28"/>
      <c r="D9" s="224" t="s">
        <v>45</v>
      </c>
      <c r="E9" s="225"/>
      <c r="F9" s="28"/>
      <c r="G9" s="28"/>
      <c r="H9" s="28"/>
      <c r="I9" s="28"/>
      <c r="J9" s="25"/>
    </row>
    <row r="10" spans="1:13" s="27" customFormat="1" ht="30.75" customHeight="1" x14ac:dyDescent="0.25">
      <c r="A10" s="163" t="s">
        <v>46</v>
      </c>
      <c r="B10" s="164" t="s">
        <v>47</v>
      </c>
      <c r="C10" s="165" t="s">
        <v>48</v>
      </c>
      <c r="D10" s="165" t="s">
        <v>49</v>
      </c>
      <c r="E10" s="165" t="s">
        <v>50</v>
      </c>
      <c r="F10" s="165" t="s">
        <v>12</v>
      </c>
      <c r="G10" s="165" t="s">
        <v>13</v>
      </c>
      <c r="H10" s="165" t="s">
        <v>51</v>
      </c>
      <c r="I10" s="165" t="s">
        <v>52</v>
      </c>
      <c r="J10" s="166" t="s">
        <v>53</v>
      </c>
      <c r="K10" s="165" t="s">
        <v>54</v>
      </c>
      <c r="L10" s="165" t="s">
        <v>55</v>
      </c>
      <c r="M10" s="167"/>
    </row>
    <row r="11" spans="1:13" ht="14.1" customHeight="1" x14ac:dyDescent="0.3">
      <c r="A11" s="82" t="s">
        <v>56</v>
      </c>
      <c r="B11" s="195">
        <v>2868770028</v>
      </c>
      <c r="C11" s="192">
        <v>8900</v>
      </c>
      <c r="D11" s="183">
        <v>220</v>
      </c>
      <c r="E11" s="185">
        <v>500</v>
      </c>
      <c r="F11" s="90" t="s">
        <v>24</v>
      </c>
      <c r="G11" s="90">
        <v>3</v>
      </c>
      <c r="H11" s="186">
        <v>15</v>
      </c>
      <c r="I11" s="103">
        <f t="shared" ref="I11:I15" si="0">+D11*K11</f>
        <v>5474.04</v>
      </c>
      <c r="J11" s="84">
        <f t="shared" ref="J11" si="1">IFERROR((C11-I11)/E11,0)</f>
        <v>6.8519199999999998</v>
      </c>
      <c r="K11" s="182">
        <f t="shared" ref="K11" si="2">IFERROR(INDEX(MAT_AÑO,MATCH(F11,LETRAS_1,0),MATCH(H11,mat_año_2,0))*(INDEX(MAT_CALI,MATCH(F11,LETRAS_2,0),MATCH(G11,NUM_1,0))),0)</f>
        <v>24.882000000000001</v>
      </c>
      <c r="L11" s="190" t="s">
        <v>57</v>
      </c>
      <c r="M11" s="25"/>
    </row>
    <row r="12" spans="1:13" ht="14.1" customHeight="1" x14ac:dyDescent="0.3">
      <c r="A12" s="82" t="s">
        <v>58</v>
      </c>
      <c r="B12" s="195">
        <v>1536816073</v>
      </c>
      <c r="C12" s="193">
        <v>5700</v>
      </c>
      <c r="D12" s="184">
        <v>145</v>
      </c>
      <c r="E12" s="185">
        <v>354</v>
      </c>
      <c r="F12" s="90" t="s">
        <v>24</v>
      </c>
      <c r="G12" s="90">
        <v>3</v>
      </c>
      <c r="H12" s="186">
        <v>15</v>
      </c>
      <c r="I12" s="103">
        <f t="shared" si="0"/>
        <v>3607.8900000000003</v>
      </c>
      <c r="J12" s="84">
        <f t="shared" ref="J12" si="3">IFERROR((C12-I12)/E12,0)</f>
        <v>5.909915254237287</v>
      </c>
      <c r="K12" s="182">
        <f t="shared" ref="K12:K14" si="4">IFERROR(INDEX(MAT_AÑO,MATCH(F12,LETRAS_1,0),MATCH(H12,mat_año_2,0))*(INDEX(MAT_CALI,MATCH(F12,LETRAS_2,0),MATCH(G12,NUM_1,0))),0)</f>
        <v>24.882000000000001</v>
      </c>
      <c r="L12" s="190" t="s">
        <v>59</v>
      </c>
      <c r="M12" s="25"/>
    </row>
    <row r="13" spans="1:13" ht="14.1" customHeight="1" x14ac:dyDescent="0.3">
      <c r="A13" s="82" t="s">
        <v>60</v>
      </c>
      <c r="B13" s="191">
        <v>2847948208</v>
      </c>
      <c r="C13" s="101">
        <v>3310</v>
      </c>
      <c r="D13" s="92">
        <v>130</v>
      </c>
      <c r="E13" s="93">
        <v>200</v>
      </c>
      <c r="F13" s="94" t="s">
        <v>24</v>
      </c>
      <c r="G13" s="94">
        <v>3</v>
      </c>
      <c r="H13" s="95">
        <v>15</v>
      </c>
      <c r="I13" s="103">
        <f t="shared" si="0"/>
        <v>3234.6600000000003</v>
      </c>
      <c r="J13" s="84">
        <f t="shared" ref="J13:J14" si="5">IFERROR((C13-I13)/E13,0)</f>
        <v>0.37669999999999848</v>
      </c>
      <c r="K13" s="182">
        <f t="shared" si="4"/>
        <v>24.882000000000001</v>
      </c>
      <c r="L13" s="190" t="s">
        <v>61</v>
      </c>
      <c r="M13" s="25"/>
    </row>
    <row r="14" spans="1:13" ht="14.1" customHeight="1" x14ac:dyDescent="0.3">
      <c r="A14" s="82" t="s">
        <v>62</v>
      </c>
      <c r="B14" s="191">
        <v>1583325389</v>
      </c>
      <c r="C14" s="100">
        <v>4556</v>
      </c>
      <c r="D14" s="89">
        <v>86</v>
      </c>
      <c r="E14" s="89">
        <v>223</v>
      </c>
      <c r="F14" s="90" t="s">
        <v>24</v>
      </c>
      <c r="G14" s="90">
        <v>3</v>
      </c>
      <c r="H14" s="91">
        <v>15</v>
      </c>
      <c r="I14" s="103">
        <f t="shared" si="0"/>
        <v>2139.8520000000003</v>
      </c>
      <c r="J14" s="84">
        <f t="shared" si="5"/>
        <v>10.834744394618832</v>
      </c>
      <c r="K14" s="182">
        <f t="shared" si="4"/>
        <v>24.882000000000001</v>
      </c>
      <c r="L14" s="190" t="s">
        <v>63</v>
      </c>
      <c r="M14" s="25"/>
    </row>
    <row r="15" spans="1:13" s="57" customFormat="1" ht="14.1" customHeight="1" x14ac:dyDescent="0.25">
      <c r="A15" s="82" t="s">
        <v>64</v>
      </c>
      <c r="B15" s="189"/>
      <c r="C15" s="100"/>
      <c r="D15" s="89"/>
      <c r="E15" s="89"/>
      <c r="F15" s="90"/>
      <c r="G15" s="90"/>
      <c r="H15" s="91"/>
      <c r="I15" s="103">
        <f t="shared" si="0"/>
        <v>0</v>
      </c>
      <c r="J15" s="83"/>
      <c r="K15" s="97"/>
      <c r="L15" s="87"/>
      <c r="M15" s="25"/>
    </row>
    <row r="16" spans="1:13" s="57" customFormat="1" ht="14.1" customHeight="1" x14ac:dyDescent="0.25">
      <c r="A16" s="64"/>
      <c r="B16" s="65"/>
      <c r="C16" s="102"/>
      <c r="D16" s="67"/>
      <c r="E16" s="67"/>
      <c r="F16" s="58"/>
      <c r="G16" s="58"/>
      <c r="H16" s="68"/>
      <c r="I16" s="104"/>
      <c r="J16" s="70"/>
      <c r="K16" s="70"/>
      <c r="L16" s="88"/>
      <c r="M16" s="62"/>
    </row>
    <row r="17" spans="1:13" s="57" customFormat="1" ht="14.1" customHeight="1" thickBot="1" x14ac:dyDescent="0.3">
      <c r="A17" s="64"/>
      <c r="B17" s="65"/>
      <c r="C17" s="66"/>
      <c r="D17" s="67"/>
      <c r="E17" s="67"/>
      <c r="F17" s="58"/>
      <c r="G17" s="58"/>
      <c r="H17" s="68"/>
      <c r="I17" s="69"/>
      <c r="J17" s="69"/>
      <c r="K17" s="70"/>
      <c r="L17" s="71"/>
      <c r="M17" s="62"/>
    </row>
    <row r="18" spans="1:13" ht="14.1" customHeight="1" thickBot="1" x14ac:dyDescent="0.3">
      <c r="A18" s="28"/>
      <c r="B18" s="137" t="s">
        <v>65</v>
      </c>
      <c r="C18" s="107">
        <f>AVERAGE(C11:C15)</f>
        <v>5616.5</v>
      </c>
      <c r="D18" s="107">
        <f>IFERROR(AVERAGEIF(D11:D15,"&lt;&gt;0"),0)</f>
        <v>145.25</v>
      </c>
      <c r="E18" s="107">
        <f>IFERROR(AVERAGEIF(E11:E15,"&lt;&gt;0"),0)</f>
        <v>319.25</v>
      </c>
      <c r="F18" s="108"/>
      <c r="G18" s="108"/>
      <c r="H18" s="108"/>
      <c r="I18" s="109"/>
      <c r="J18" s="96">
        <f>IFERROR(AVERAGEIF(J11:J15,"&lt;&gt;0"),0)</f>
        <v>5.9933199122140293</v>
      </c>
      <c r="K18" s="110">
        <f>IFERROR(AVERAGEIF(K11:K15,"&lt;&gt;0"),0)</f>
        <v>24.882000000000001</v>
      </c>
      <c r="L18" s="28"/>
      <c r="M18" s="25"/>
    </row>
    <row r="19" spans="1:13" ht="14.1" customHeight="1" x14ac:dyDescent="0.25">
      <c r="A19" s="28"/>
      <c r="B19" s="59"/>
      <c r="C19" s="28"/>
      <c r="D19" s="28"/>
      <c r="E19" s="28"/>
      <c r="F19" s="28"/>
      <c r="G19" s="28"/>
      <c r="H19" s="60"/>
      <c r="I19" s="61"/>
      <c r="J19" s="25"/>
      <c r="K19" s="62"/>
      <c r="L19" s="63"/>
    </row>
    <row r="20" spans="1:13" ht="14.1" customHeight="1" x14ac:dyDescent="0.25">
      <c r="A20" s="28"/>
      <c r="B20" s="59"/>
      <c r="C20" s="28"/>
      <c r="D20" s="28"/>
      <c r="E20" s="28"/>
      <c r="F20" s="28"/>
      <c r="G20" s="28"/>
      <c r="H20" s="168"/>
      <c r="I20" s="28"/>
      <c r="J20" s="25"/>
    </row>
    <row r="21" spans="1:13" ht="14.1" customHeight="1" x14ac:dyDescent="0.25">
      <c r="A21" s="28"/>
      <c r="B21" s="59"/>
      <c r="C21" s="28"/>
      <c r="D21" s="28"/>
      <c r="E21" s="28"/>
      <c r="F21" s="28"/>
      <c r="G21" s="28"/>
      <c r="H21" s="28"/>
      <c r="I21" s="28"/>
      <c r="J21" s="25"/>
    </row>
    <row r="22" spans="1:13" ht="15.9" customHeight="1" x14ac:dyDescent="0.25">
      <c r="A22" s="42" t="s">
        <v>66</v>
      </c>
      <c r="B22" s="169">
        <f ca="1">TODAY()</f>
        <v>46041</v>
      </c>
      <c r="C22" s="85"/>
      <c r="D22" s="86"/>
      <c r="E22" s="28"/>
      <c r="F22" s="170" t="s">
        <v>67</v>
      </c>
      <c r="G22" s="171"/>
      <c r="H22" s="106"/>
      <c r="I22" s="172"/>
      <c r="J22" s="106"/>
      <c r="K22" s="173"/>
      <c r="L22" s="174">
        <f>J18</f>
        <v>5.9933199122140293</v>
      </c>
    </row>
    <row r="23" spans="1:13" ht="15.9" customHeight="1" x14ac:dyDescent="0.25">
      <c r="A23" s="42" t="s">
        <v>68</v>
      </c>
      <c r="B23" s="175" t="str">
        <f>'Evaluacion Comercial GP'!B7</f>
        <v>Antonio Cardenas</v>
      </c>
      <c r="C23" s="85"/>
      <c r="D23" s="86"/>
      <c r="E23" s="28"/>
      <c r="F23" s="176" t="s">
        <v>69</v>
      </c>
      <c r="G23" s="177"/>
      <c r="H23" s="81"/>
      <c r="I23" s="178"/>
      <c r="J23" s="81"/>
      <c r="K23" s="81"/>
      <c r="L23" s="179">
        <f>K18</f>
        <v>24.882000000000001</v>
      </c>
    </row>
    <row r="24" spans="1:13" ht="15.9" customHeight="1" x14ac:dyDescent="0.25">
      <c r="A24" s="42" t="s">
        <v>70</v>
      </c>
      <c r="B24" s="111">
        <f>'Evaluacion Comercial GP'!B16:C16</f>
        <v>39349</v>
      </c>
      <c r="C24" s="85"/>
      <c r="D24" s="86"/>
      <c r="E24" s="28"/>
      <c r="F24" s="29"/>
      <c r="G24" s="30"/>
      <c r="I24" s="31"/>
      <c r="L24" s="32"/>
    </row>
    <row r="25" spans="1:13" ht="14.1" customHeight="1" x14ac:dyDescent="0.25">
      <c r="A25" s="180" t="s">
        <v>71</v>
      </c>
      <c r="B25" s="181"/>
      <c r="C25" s="85"/>
      <c r="D25" s="86"/>
      <c r="E25" s="28"/>
      <c r="F25" s="28"/>
      <c r="G25" s="28"/>
      <c r="H25" s="28"/>
      <c r="I25" s="28"/>
      <c r="J25" s="25"/>
    </row>
  </sheetData>
  <mergeCells count="2">
    <mergeCell ref="D9:E9"/>
    <mergeCell ref="C1:L1"/>
  </mergeCells>
  <phoneticPr fontId="21" type="noConversion"/>
  <dataValidations disablePrompts="1" count="2">
    <dataValidation type="list" allowBlank="1" showInputMessage="1" showErrorMessage="1" sqref="F11:F16" xr:uid="{00000000-0002-0000-0100-000000000000}">
      <formula1>"A,B,C,D,E,F,G,H,,I"</formula1>
    </dataValidation>
    <dataValidation type="list" allowBlank="1" showInputMessage="1" showErrorMessage="1" sqref="G11:G16" xr:uid="{00000000-0002-0000-0100-000001000000}">
      <formula1>"1,2,3,4,5"</formula1>
    </dataValidation>
  </dataValidations>
  <hyperlinks>
    <hyperlink ref="B11" r:id="rId1" location="position=13&amp;search_layout=map&amp;type=item&amp;tracking_id=d83f36ea-0ee8-48a7-81d9-89eae75160ac" display="https://www.portalinmobiliario.com/MLC-2868770028-gran-casa-en-mantagua-condominio-dona-blanca-iv-_JM - position=13&amp;search_layout=map&amp;type=item&amp;tracking_id=d83f36ea-0ee8-48a7-81d9-89eae75160ac" xr:uid="{79FA62C8-915E-42C1-994E-9CCC615B72C8}"/>
    <hyperlink ref="B12" r:id="rId2" location="position=1&amp;search_layout=map&amp;type=item&amp;tracking_id=d83f36ea-0ee8-48a7-81d9-89eae75160ac" display="1536816073" xr:uid="{C0B10D6C-BC2F-4EDF-9D6C-B731A349278D}"/>
    <hyperlink ref="B13" r:id="rId3" location="position=8&amp;search_layout=map&amp;type=item&amp;tracking_id=d83f36ea-0ee8-48a7-81d9-89eae75160ac" display="2847948208" xr:uid="{F3C0CCC5-D367-423C-851A-A9C262DF396E}"/>
    <hyperlink ref="B14" r:id="rId4" location="position=9&amp;search_layout=map&amp;type=item&amp;tracking_id=d83f36ea-0ee8-48a7-81d9-89eae75160ac" display="1583325389" xr:uid="{70869407-D1F3-4478-B9DC-33D11C7CB1F3}"/>
  </hyperlinks>
  <pageMargins left="0.23622047244094491" right="0.23622047244094491" top="0.74803149606299213" bottom="0.74803149606299213" header="0.31496062992125984" footer="0.31496062992125984"/>
  <pageSetup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8" name="Button 4">
              <controlPr defaultSize="0" print="0" autoFill="0" autoPict="0" macro="[0]!prin_pdf_ANA">
                <anchor moveWithCells="1" sizeWithCells="1">
                  <from>
                    <xdr:col>12</xdr:col>
                    <xdr:colOff>205740</xdr:colOff>
                    <xdr:row>1</xdr:row>
                    <xdr:rowOff>213360</xdr:rowOff>
                  </from>
                  <to>
                    <xdr:col>13</xdr:col>
                    <xdr:colOff>251460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10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795D-4C1A-3F4C-8B02-C4439983FE41}">
  <dimension ref="A1:I1000"/>
  <sheetViews>
    <sheetView zoomScale="150" zoomScaleNormal="150" workbookViewId="0">
      <selection activeCell="I13" sqref="I13"/>
    </sheetView>
  </sheetViews>
  <sheetFormatPr baseColWidth="10" defaultColWidth="14.44140625" defaultRowHeight="14.4" x14ac:dyDescent="0.3"/>
  <cols>
    <col min="1" max="6" width="10" style="2" customWidth="1"/>
    <col min="7" max="8" width="6" style="2" customWidth="1"/>
    <col min="9" max="9" width="15" style="2" customWidth="1"/>
    <col min="10" max="26" width="10" style="2" customWidth="1"/>
    <col min="27" max="16384" width="14.44140625" style="2"/>
  </cols>
  <sheetData>
    <row r="1" spans="1:9" ht="31.5" customHeight="1" x14ac:dyDescent="0.35">
      <c r="A1" s="226" t="s">
        <v>72</v>
      </c>
      <c r="B1" s="227"/>
      <c r="C1" s="227"/>
      <c r="D1" s="227"/>
      <c r="E1" s="227"/>
      <c r="F1" s="227"/>
      <c r="G1" s="227"/>
      <c r="H1" s="1"/>
    </row>
    <row r="2" spans="1:9" ht="31.5" customHeight="1" x14ac:dyDescent="0.3">
      <c r="A2" s="3"/>
      <c r="B2" s="3"/>
      <c r="C2" s="3"/>
      <c r="D2" s="3"/>
      <c r="E2" s="3"/>
      <c r="F2" s="3"/>
      <c r="G2" s="3"/>
      <c r="H2" s="4"/>
    </row>
    <row r="3" spans="1:9" ht="13.5" customHeight="1" x14ac:dyDescent="0.3"/>
    <row r="4" spans="1:9" ht="13.5" customHeight="1" x14ac:dyDescent="0.3"/>
    <row r="5" spans="1:9" ht="13.5" customHeight="1" x14ac:dyDescent="0.3">
      <c r="G5" s="5"/>
      <c r="I5" s="6"/>
    </row>
    <row r="6" spans="1:9" ht="13.5" customHeight="1" x14ac:dyDescent="0.3">
      <c r="E6" s="7" t="s">
        <v>73</v>
      </c>
      <c r="I6" s="6"/>
    </row>
    <row r="7" spans="1:9" ht="13.5" customHeight="1" x14ac:dyDescent="0.3">
      <c r="E7" s="7" t="s">
        <v>74</v>
      </c>
      <c r="I7" s="6"/>
    </row>
    <row r="8" spans="1:9" ht="13.5" customHeight="1" x14ac:dyDescent="0.3">
      <c r="E8" s="7" t="s">
        <v>75</v>
      </c>
      <c r="I8" s="6"/>
    </row>
    <row r="9" spans="1:9" ht="13.5" customHeight="1" x14ac:dyDescent="0.3">
      <c r="E9" s="7" t="s">
        <v>76</v>
      </c>
      <c r="I9" s="6"/>
    </row>
    <row r="10" spans="1:9" ht="13.5" customHeight="1" x14ac:dyDescent="0.3">
      <c r="E10" s="7" t="s">
        <v>77</v>
      </c>
    </row>
    <row r="11" spans="1:9" ht="13.5" customHeight="1" x14ac:dyDescent="0.3"/>
    <row r="12" spans="1:9" ht="13.5" customHeight="1" x14ac:dyDescent="0.3"/>
    <row r="13" spans="1:9" ht="13.5" customHeight="1" x14ac:dyDescent="0.3"/>
    <row r="14" spans="1:9" ht="13.5" customHeight="1" x14ac:dyDescent="0.3"/>
    <row r="15" spans="1:9" ht="13.5" customHeight="1" x14ac:dyDescent="0.3"/>
    <row r="16" spans="1:9" ht="13.5" customHeight="1" x14ac:dyDescent="0.3"/>
    <row r="17" ht="13.5" customHeight="1" x14ac:dyDescent="0.3"/>
    <row r="18" ht="13.5" customHeight="1" x14ac:dyDescent="0.3"/>
    <row r="19" ht="13.5" customHeight="1" x14ac:dyDescent="0.3"/>
    <row r="20" ht="13.5" customHeight="1" x14ac:dyDescent="0.3"/>
    <row r="21" ht="13.5" customHeight="1" x14ac:dyDescent="0.3"/>
    <row r="22" ht="13.5" customHeight="1" x14ac:dyDescent="0.3"/>
    <row r="23" ht="13.5" customHeight="1" x14ac:dyDescent="0.3"/>
    <row r="24" ht="13.5" customHeight="1" x14ac:dyDescent="0.3"/>
    <row r="25" ht="13.5" customHeight="1" x14ac:dyDescent="0.3"/>
    <row r="26" ht="13.5" customHeight="1" x14ac:dyDescent="0.3"/>
    <row r="27" ht="13.5" customHeight="1" x14ac:dyDescent="0.3"/>
    <row r="28" ht="13.5" customHeight="1" x14ac:dyDescent="0.3"/>
    <row r="29" ht="13.5" customHeight="1" x14ac:dyDescent="0.3"/>
    <row r="30" ht="13.5" customHeight="1" x14ac:dyDescent="0.3"/>
    <row r="31" ht="13.5" customHeight="1" x14ac:dyDescent="0.3"/>
    <row r="32" ht="13.5" customHeight="1" x14ac:dyDescent="0.3"/>
    <row r="33" spans="2:2" ht="13.5" customHeight="1" x14ac:dyDescent="0.3"/>
    <row r="34" spans="2:2" ht="13.5" customHeight="1" x14ac:dyDescent="0.3"/>
    <row r="35" spans="2:2" ht="13.5" customHeight="1" x14ac:dyDescent="0.3"/>
    <row r="36" spans="2:2" ht="13.5" customHeight="1" x14ac:dyDescent="0.3"/>
    <row r="37" spans="2:2" ht="13.5" customHeight="1" x14ac:dyDescent="0.3">
      <c r="B37" s="8" t="s">
        <v>78</v>
      </c>
    </row>
    <row r="38" spans="2:2" ht="13.5" customHeight="1" x14ac:dyDescent="0.3">
      <c r="B38" s="8" t="s">
        <v>74</v>
      </c>
    </row>
    <row r="39" spans="2:2" ht="13.5" customHeight="1" x14ac:dyDescent="0.3">
      <c r="B39" s="8" t="s">
        <v>75</v>
      </c>
    </row>
    <row r="40" spans="2:2" ht="13.5" customHeight="1" x14ac:dyDescent="0.3">
      <c r="B40" s="8" t="s">
        <v>76</v>
      </c>
    </row>
    <row r="41" spans="2:2" ht="13.5" customHeight="1" x14ac:dyDescent="0.3">
      <c r="B41" s="8" t="s">
        <v>77</v>
      </c>
    </row>
    <row r="42" spans="2:2" ht="13.5" customHeight="1" x14ac:dyDescent="0.3"/>
    <row r="43" spans="2:2" ht="13.5" customHeight="1" x14ac:dyDescent="0.3"/>
    <row r="44" spans="2:2" ht="13.5" customHeight="1" x14ac:dyDescent="0.3"/>
    <row r="45" spans="2:2" ht="13.5" customHeight="1" x14ac:dyDescent="0.3"/>
    <row r="46" spans="2:2" ht="13.5" customHeight="1" x14ac:dyDescent="0.3"/>
    <row r="47" spans="2:2" ht="13.5" customHeight="1" x14ac:dyDescent="0.3"/>
    <row r="48" spans="2:2" ht="13.5" customHeight="1" x14ac:dyDescent="0.3"/>
    <row r="49" ht="13.5" customHeight="1" x14ac:dyDescent="0.3"/>
    <row r="50" ht="13.5" customHeight="1" x14ac:dyDescent="0.3"/>
    <row r="51" ht="13.5" customHeight="1" x14ac:dyDescent="0.3"/>
    <row r="52" ht="13.5" customHeight="1" x14ac:dyDescent="0.3"/>
    <row r="53" ht="13.5" customHeight="1" x14ac:dyDescent="0.3"/>
    <row r="54" ht="13.5" customHeight="1" x14ac:dyDescent="0.3"/>
    <row r="55" ht="13.5" customHeight="1" x14ac:dyDescent="0.3"/>
    <row r="56" ht="13.5" customHeight="1" x14ac:dyDescent="0.3"/>
    <row r="57" ht="13.5" customHeight="1" x14ac:dyDescent="0.3"/>
    <row r="58" ht="13.5" customHeight="1" x14ac:dyDescent="0.3"/>
    <row r="59" ht="13.5" customHeight="1" x14ac:dyDescent="0.3"/>
    <row r="60" ht="13.5" customHeight="1" x14ac:dyDescent="0.3"/>
    <row r="61" ht="13.5" customHeight="1" x14ac:dyDescent="0.3"/>
    <row r="62" ht="13.5" customHeight="1" x14ac:dyDescent="0.3"/>
    <row r="63" ht="13.5" customHeight="1" x14ac:dyDescent="0.3"/>
    <row r="64" ht="13.5" customHeight="1" x14ac:dyDescent="0.3"/>
    <row r="65" ht="13.5" customHeight="1" x14ac:dyDescent="0.3"/>
    <row r="66" ht="13.5" customHeight="1" x14ac:dyDescent="0.3"/>
    <row r="67" ht="13.5" customHeight="1" x14ac:dyDescent="0.3"/>
    <row r="68" ht="13.5" customHeight="1" x14ac:dyDescent="0.3"/>
    <row r="69" ht="13.5" customHeight="1" x14ac:dyDescent="0.3"/>
    <row r="70" ht="13.5" customHeight="1" x14ac:dyDescent="0.3"/>
    <row r="71" ht="13.5" customHeight="1" x14ac:dyDescent="0.3"/>
    <row r="72" ht="13.5" customHeight="1" x14ac:dyDescent="0.3"/>
    <row r="73" ht="13.5" customHeight="1" x14ac:dyDescent="0.3"/>
    <row r="74" ht="13.5" customHeight="1" x14ac:dyDescent="0.3"/>
    <row r="75" ht="13.5" customHeight="1" x14ac:dyDescent="0.3"/>
    <row r="76" ht="13.5" customHeight="1" x14ac:dyDescent="0.3"/>
    <row r="77" ht="13.5" customHeight="1" x14ac:dyDescent="0.3"/>
    <row r="78" ht="13.5" customHeight="1" x14ac:dyDescent="0.3"/>
    <row r="79" ht="13.5" customHeight="1" x14ac:dyDescent="0.3"/>
    <row r="80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</sheetData>
  <mergeCells count="1">
    <mergeCell ref="A1:G1"/>
  </mergeCells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AB40"/>
  <sheetViews>
    <sheetView zoomScale="150" zoomScaleNormal="150" zoomScalePageLayoutView="200" workbookViewId="0">
      <selection activeCell="D6" sqref="D6"/>
    </sheetView>
  </sheetViews>
  <sheetFormatPr baseColWidth="10" defaultColWidth="10.88671875" defaultRowHeight="12" x14ac:dyDescent="0.25"/>
  <cols>
    <col min="1" max="1" width="13.44140625" style="117" bestFit="1" customWidth="1"/>
    <col min="2" max="20" width="6.88671875" style="117" customWidth="1"/>
    <col min="21" max="22" width="5" style="117" hidden="1" customWidth="1"/>
    <col min="23" max="23" width="12.33203125" style="117" hidden="1" customWidth="1"/>
    <col min="24" max="24" width="0" style="117" hidden="1" customWidth="1"/>
    <col min="25" max="25" width="14" style="117" customWidth="1"/>
    <col min="26" max="28" width="10.88671875" style="117"/>
    <col min="29" max="29" width="8.109375" style="117" customWidth="1"/>
    <col min="30" max="16384" width="10.88671875" style="117"/>
  </cols>
  <sheetData>
    <row r="1" spans="1:22" x14ac:dyDescent="0.25">
      <c r="A1" s="112" t="s">
        <v>79</v>
      </c>
      <c r="B1" s="113"/>
      <c r="C1" s="113"/>
      <c r="D1" s="113"/>
      <c r="E1" s="113"/>
      <c r="F1" s="113"/>
      <c r="G1" s="113"/>
      <c r="H1" s="114"/>
      <c r="I1" s="115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</row>
    <row r="2" spans="1:22" x14ac:dyDescent="0.25">
      <c r="A2" s="112" t="s">
        <v>80</v>
      </c>
      <c r="B2" s="118">
        <v>0</v>
      </c>
      <c r="C2" s="118">
        <v>10</v>
      </c>
      <c r="D2" s="118">
        <v>20</v>
      </c>
      <c r="E2" s="118">
        <v>30</v>
      </c>
      <c r="F2" s="118">
        <v>40</v>
      </c>
      <c r="G2" s="118">
        <v>50</v>
      </c>
      <c r="H2" s="118">
        <v>60</v>
      </c>
      <c r="I2" s="118">
        <v>70</v>
      </c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7" t="s">
        <v>81</v>
      </c>
    </row>
    <row r="3" spans="1:22" x14ac:dyDescent="0.25">
      <c r="A3" s="119" t="s">
        <v>82</v>
      </c>
      <c r="B3" s="120">
        <f>Hoja1!B3</f>
        <v>1</v>
      </c>
      <c r="C3" s="120">
        <f>Hoja1!L3</f>
        <v>0.9</v>
      </c>
      <c r="D3" s="120">
        <f>Hoja1!V3</f>
        <v>0.82</v>
      </c>
      <c r="E3" s="120">
        <f>Hoja1!AF3</f>
        <v>0.66</v>
      </c>
      <c r="F3" s="120">
        <f>Hoja1!AP3</f>
        <v>0.54</v>
      </c>
      <c r="G3" s="120">
        <f>Hoja1!AZ3</f>
        <v>0.44</v>
      </c>
      <c r="H3" s="120">
        <f>Hoja1!BJ3</f>
        <v>0.38</v>
      </c>
      <c r="I3" s="120">
        <f>Hoja1!BT3</f>
        <v>0.3</v>
      </c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</row>
    <row r="4" spans="1:22" x14ac:dyDescent="0.25">
      <c r="A4" s="119" t="s">
        <v>83</v>
      </c>
      <c r="B4" s="120">
        <f>Hoja1!B4</f>
        <v>1</v>
      </c>
      <c r="C4" s="120">
        <f>Hoja1!L4</f>
        <v>0.92</v>
      </c>
      <c r="D4" s="120">
        <f>Hoja1!V4</f>
        <v>0.73</v>
      </c>
      <c r="E4" s="120">
        <f>Hoja1!AF4</f>
        <v>0.54</v>
      </c>
      <c r="F4" s="120">
        <f>Hoja1!AP4</f>
        <v>0.4</v>
      </c>
      <c r="G4" s="120">
        <f>Hoja1!AZ4</f>
        <v>0.28999999999999998</v>
      </c>
      <c r="H4" s="120">
        <f>Hoja1!BJ4</f>
        <v>0.21</v>
      </c>
      <c r="I4" s="120">
        <f>Hoja1!BT4</f>
        <v>0.16</v>
      </c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</row>
    <row r="5" spans="1:22" x14ac:dyDescent="0.25">
      <c r="A5" s="119" t="s">
        <v>24</v>
      </c>
      <c r="B5" s="120">
        <f>Hoja1!B5</f>
        <v>1</v>
      </c>
      <c r="C5" s="120">
        <f>Hoja1!L5</f>
        <v>0.9</v>
      </c>
      <c r="D5" s="120">
        <f>Hoja1!V5</f>
        <v>0.66</v>
      </c>
      <c r="E5" s="120">
        <f>Hoja1!AF5</f>
        <v>0.44</v>
      </c>
      <c r="F5" s="120">
        <f>Hoja1!AP5</f>
        <v>0.28999999999999998</v>
      </c>
      <c r="G5" s="120">
        <f>Hoja1!AZ5</f>
        <v>0.19</v>
      </c>
      <c r="H5" s="120">
        <f>Hoja1!BJ5</f>
        <v>0.13</v>
      </c>
      <c r="I5" s="120">
        <f>Hoja1!BT5</f>
        <v>0.08</v>
      </c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</row>
    <row r="6" spans="1:22" x14ac:dyDescent="0.25">
      <c r="A6" s="119" t="s">
        <v>84</v>
      </c>
      <c r="B6" s="120">
        <f>Hoja1!B6</f>
        <v>1</v>
      </c>
      <c r="C6" s="120">
        <f>Hoja1!L6</f>
        <v>0.75</v>
      </c>
      <c r="D6" s="120">
        <f>Hoja1!V6</f>
        <v>0.6</v>
      </c>
      <c r="E6" s="120">
        <f>Hoja1!AF6</f>
        <v>0.37</v>
      </c>
      <c r="F6" s="120">
        <f>Hoja1!AP6</f>
        <v>0.22</v>
      </c>
      <c r="G6" s="120">
        <f>Hoja1!AZ6</f>
        <v>0.13</v>
      </c>
      <c r="H6" s="120">
        <f>Hoja1!BJ6</f>
        <v>7.0000000000000007E-2</v>
      </c>
      <c r="I6" s="120">
        <f>Hoja1!BT6</f>
        <v>0.04</v>
      </c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</row>
    <row r="7" spans="1:22" x14ac:dyDescent="0.25">
      <c r="A7" s="119" t="s">
        <v>85</v>
      </c>
      <c r="B7" s="120">
        <f>Hoja1!B7</f>
        <v>1</v>
      </c>
      <c r="C7" s="120">
        <f>Hoja1!L7</f>
        <v>0.7</v>
      </c>
      <c r="D7" s="120">
        <f>Hoja1!V7</f>
        <v>0.54</v>
      </c>
      <c r="E7" s="120">
        <f>Hoja1!AF7</f>
        <v>0.28999999999999998</v>
      </c>
      <c r="F7" s="120">
        <f>Hoja1!AP7</f>
        <v>0.15</v>
      </c>
      <c r="G7" s="120">
        <f>Hoja1!AZ7</f>
        <v>0.08</v>
      </c>
      <c r="H7" s="120">
        <f>Hoja1!BJ7</f>
        <v>0.04</v>
      </c>
      <c r="I7" s="120">
        <f>Hoja1!BT7</f>
        <v>0.03</v>
      </c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V7" s="117" t="s">
        <v>86</v>
      </c>
    </row>
    <row r="8" spans="1:22" x14ac:dyDescent="0.25">
      <c r="A8" s="119" t="s">
        <v>87</v>
      </c>
      <c r="B8" s="120">
        <f>Hoja1!B8</f>
        <v>1</v>
      </c>
      <c r="C8" s="120">
        <f>Hoja1!L8</f>
        <v>0.7</v>
      </c>
      <c r="D8" s="120">
        <f>Hoja1!V8</f>
        <v>0.5</v>
      </c>
      <c r="E8" s="120">
        <f>Hoja1!AF8</f>
        <v>0.25</v>
      </c>
      <c r="F8" s="120">
        <f>Hoja1!AP8</f>
        <v>0.2</v>
      </c>
      <c r="G8" s="120">
        <f>Hoja1!AZ8</f>
        <v>0.12</v>
      </c>
      <c r="H8" s="120">
        <f>Hoja1!BJ8</f>
        <v>0.04</v>
      </c>
      <c r="I8" s="120">
        <f>Hoja1!BT8</f>
        <v>0.03</v>
      </c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V8" s="117" t="s">
        <v>88</v>
      </c>
    </row>
    <row r="9" spans="1:22" x14ac:dyDescent="0.25">
      <c r="A9" s="119" t="s">
        <v>89</v>
      </c>
      <c r="B9" s="120">
        <f>Hoja1!B9</f>
        <v>1</v>
      </c>
      <c r="C9" s="120">
        <f>Hoja1!L9</f>
        <v>0.9</v>
      </c>
      <c r="D9" s="120">
        <f>Hoja1!V9</f>
        <v>0.66</v>
      </c>
      <c r="E9" s="120">
        <f>Hoja1!AF9</f>
        <v>0.44</v>
      </c>
      <c r="F9" s="120">
        <f>Hoja1!AP9</f>
        <v>0.28999999999999998</v>
      </c>
      <c r="G9" s="120">
        <f>Hoja1!AZ9</f>
        <v>0.19</v>
      </c>
      <c r="H9" s="120">
        <f>Hoja1!BJ9</f>
        <v>0.04</v>
      </c>
      <c r="I9" s="120">
        <f>Hoja1!BT9</f>
        <v>0.03</v>
      </c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V9" s="117" t="s">
        <v>90</v>
      </c>
    </row>
    <row r="10" spans="1:22" x14ac:dyDescent="0.25">
      <c r="A10" s="119" t="s">
        <v>91</v>
      </c>
      <c r="B10" s="120">
        <f>Hoja1!B10</f>
        <v>1</v>
      </c>
      <c r="C10" s="120">
        <f>Hoja1!L10</f>
        <v>0.87</v>
      </c>
      <c r="D10" s="120">
        <f>Hoja1!V10</f>
        <v>0.6</v>
      </c>
      <c r="E10" s="120">
        <f>Hoja1!AF10</f>
        <v>0.4</v>
      </c>
      <c r="F10" s="120">
        <f>Hoja1!AP10</f>
        <v>0.27</v>
      </c>
      <c r="G10" s="120">
        <f>Hoja1!AZ10</f>
        <v>0.17</v>
      </c>
      <c r="H10" s="120">
        <f>Hoja1!BJ10</f>
        <v>0.04</v>
      </c>
      <c r="I10" s="120">
        <f>Hoja1!BT10</f>
        <v>0.03</v>
      </c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V10" s="117" t="s">
        <v>92</v>
      </c>
    </row>
    <row r="11" spans="1:22" x14ac:dyDescent="0.25">
      <c r="A11" s="119" t="s">
        <v>93</v>
      </c>
      <c r="B11" s="120">
        <f>Hoja1!B11</f>
        <v>1</v>
      </c>
      <c r="C11" s="120">
        <f>Hoja1!L11</f>
        <v>0.9</v>
      </c>
      <c r="D11" s="120">
        <f>Hoja1!V11</f>
        <v>0.66</v>
      </c>
      <c r="E11" s="120">
        <f>Hoja1!AF11</f>
        <v>0.44</v>
      </c>
      <c r="F11" s="120">
        <f>Hoja1!AP11</f>
        <v>0.28999999999999998</v>
      </c>
      <c r="G11" s="120">
        <f>Hoja1!AZ11</f>
        <v>0.19</v>
      </c>
      <c r="H11" s="120">
        <f>Hoja1!BJ11</f>
        <v>0.04</v>
      </c>
      <c r="I11" s="120">
        <f>Hoja1!BT11</f>
        <v>0.03</v>
      </c>
      <c r="J11" s="121"/>
      <c r="K11" s="121"/>
      <c r="L11" s="121"/>
      <c r="M11" s="121"/>
      <c r="N11" s="121"/>
      <c r="O11" s="121"/>
      <c r="P11" s="121"/>
      <c r="Q11" s="121"/>
      <c r="R11" s="121"/>
      <c r="S11" s="121"/>
      <c r="T11" s="121"/>
    </row>
    <row r="12" spans="1:22" x14ac:dyDescent="0.25">
      <c r="D12" s="122"/>
      <c r="V12" s="117" t="s">
        <v>94</v>
      </c>
    </row>
    <row r="13" spans="1:22" x14ac:dyDescent="0.25">
      <c r="A13" s="123" t="s">
        <v>95</v>
      </c>
      <c r="B13" s="124">
        <v>1</v>
      </c>
      <c r="C13" s="124">
        <v>2</v>
      </c>
      <c r="D13" s="124">
        <v>3</v>
      </c>
      <c r="E13" s="124">
        <v>4</v>
      </c>
      <c r="F13" s="124">
        <v>5</v>
      </c>
      <c r="V13" s="117" t="s">
        <v>96</v>
      </c>
    </row>
    <row r="14" spans="1:22" x14ac:dyDescent="0.25">
      <c r="A14" s="119" t="s">
        <v>82</v>
      </c>
      <c r="B14" s="125">
        <v>57.2</v>
      </c>
      <c r="C14" s="125">
        <v>51.7</v>
      </c>
      <c r="D14" s="125">
        <v>39.6</v>
      </c>
      <c r="E14" s="125">
        <v>0</v>
      </c>
      <c r="F14" s="125">
        <v>0</v>
      </c>
      <c r="I14" s="126"/>
      <c r="J14" s="126"/>
      <c r="K14" s="126"/>
      <c r="L14" s="126"/>
      <c r="M14" s="126"/>
      <c r="N14" s="126"/>
      <c r="V14" s="117" t="s">
        <v>97</v>
      </c>
    </row>
    <row r="15" spans="1:22" x14ac:dyDescent="0.25">
      <c r="A15" s="119" t="s">
        <v>83</v>
      </c>
      <c r="B15" s="125">
        <v>63.800000000000004</v>
      </c>
      <c r="C15" s="125">
        <v>53.900000000000006</v>
      </c>
      <c r="D15" s="125">
        <v>40.700000000000003</v>
      </c>
      <c r="E15" s="125">
        <v>0</v>
      </c>
      <c r="F15" s="125">
        <v>0</v>
      </c>
      <c r="V15" s="117" t="s">
        <v>98</v>
      </c>
    </row>
    <row r="16" spans="1:22" x14ac:dyDescent="0.25">
      <c r="A16" s="119" t="s">
        <v>24</v>
      </c>
      <c r="B16" s="125">
        <v>47.300000000000004</v>
      </c>
      <c r="C16" s="125">
        <v>38.5</v>
      </c>
      <c r="D16" s="125">
        <v>31.900000000000002</v>
      </c>
      <c r="E16" s="125">
        <v>26.400000000000002</v>
      </c>
      <c r="F16" s="125">
        <v>15.400000000000002</v>
      </c>
      <c r="H16" s="127"/>
      <c r="V16" s="117" t="s">
        <v>99</v>
      </c>
    </row>
    <row r="17" spans="1:22" x14ac:dyDescent="0.25">
      <c r="A17" s="119" t="s">
        <v>84</v>
      </c>
      <c r="B17" s="125">
        <v>36.300000000000004</v>
      </c>
      <c r="C17" s="125">
        <v>29.700000000000003</v>
      </c>
      <c r="D17" s="125">
        <v>24.200000000000003</v>
      </c>
      <c r="E17" s="125">
        <v>18.700000000000003</v>
      </c>
      <c r="F17" s="125">
        <v>11</v>
      </c>
      <c r="V17" s="117" t="s">
        <v>100</v>
      </c>
    </row>
    <row r="18" spans="1:22" x14ac:dyDescent="0.25">
      <c r="A18" s="119" t="s">
        <v>85</v>
      </c>
      <c r="B18" s="125">
        <v>28.6</v>
      </c>
      <c r="C18" s="125">
        <v>24.200000000000003</v>
      </c>
      <c r="D18" s="125">
        <v>14.3</v>
      </c>
      <c r="E18" s="125">
        <v>0</v>
      </c>
      <c r="F18" s="125">
        <v>0</v>
      </c>
      <c r="V18" s="117" t="s">
        <v>101</v>
      </c>
    </row>
    <row r="19" spans="1:22" x14ac:dyDescent="0.25">
      <c r="A19" s="119" t="s">
        <v>87</v>
      </c>
      <c r="B19" s="125">
        <v>13.200000000000001</v>
      </c>
      <c r="C19" s="125">
        <v>13.200000000000001</v>
      </c>
      <c r="D19" s="125">
        <v>13.200000000000001</v>
      </c>
      <c r="E19" s="125">
        <v>13.200000000000001</v>
      </c>
      <c r="F19" s="125">
        <v>13.200000000000001</v>
      </c>
      <c r="V19" s="117" t="s">
        <v>102</v>
      </c>
    </row>
    <row r="20" spans="1:22" x14ac:dyDescent="0.25">
      <c r="A20" s="119" t="s">
        <v>89</v>
      </c>
      <c r="B20" s="125">
        <v>39.6</v>
      </c>
      <c r="C20" s="125">
        <v>34.1</v>
      </c>
      <c r="D20" s="125">
        <v>27.500000000000004</v>
      </c>
      <c r="E20" s="125">
        <v>20.900000000000002</v>
      </c>
      <c r="F20" s="125">
        <v>17.600000000000001</v>
      </c>
      <c r="V20" s="117" t="s">
        <v>103</v>
      </c>
    </row>
    <row r="21" spans="1:22" x14ac:dyDescent="0.25">
      <c r="A21" s="119" t="s">
        <v>91</v>
      </c>
      <c r="B21" s="125">
        <v>34.1</v>
      </c>
      <c r="C21" s="125">
        <v>28.6</v>
      </c>
      <c r="D21" s="125">
        <v>18.700000000000003</v>
      </c>
      <c r="E21" s="125">
        <v>12.100000000000001</v>
      </c>
      <c r="F21" s="125">
        <v>9.9</v>
      </c>
      <c r="V21" s="117" t="s">
        <v>104</v>
      </c>
    </row>
    <row r="22" spans="1:22" x14ac:dyDescent="0.25">
      <c r="A22" s="119" t="s">
        <v>93</v>
      </c>
      <c r="B22" s="125">
        <v>36.300000000000004</v>
      </c>
      <c r="C22" s="125">
        <v>31.900000000000002</v>
      </c>
      <c r="D22" s="125">
        <v>25.3</v>
      </c>
      <c r="E22" s="125">
        <v>18.700000000000003</v>
      </c>
      <c r="F22" s="125">
        <v>14.3</v>
      </c>
      <c r="V22" s="117">
        <v>0.18</v>
      </c>
    </row>
    <row r="24" spans="1:22" x14ac:dyDescent="0.25">
      <c r="A24" s="124" t="s">
        <v>105</v>
      </c>
      <c r="B24" s="128"/>
      <c r="C24" s="129" t="s">
        <v>106</v>
      </c>
      <c r="D24" s="113"/>
      <c r="E24" s="130"/>
      <c r="F24" s="131"/>
      <c r="V24" s="117" t="s">
        <v>107</v>
      </c>
    </row>
    <row r="25" spans="1:22" x14ac:dyDescent="0.25">
      <c r="A25" s="119" t="s">
        <v>82</v>
      </c>
      <c r="B25" s="132" t="s">
        <v>108</v>
      </c>
      <c r="C25" s="132"/>
      <c r="D25" s="132"/>
      <c r="E25" s="132"/>
      <c r="U25" s="117" t="s">
        <v>102</v>
      </c>
    </row>
    <row r="26" spans="1:22" x14ac:dyDescent="0.25">
      <c r="A26" s="119" t="s">
        <v>83</v>
      </c>
      <c r="B26" s="132" t="s">
        <v>109</v>
      </c>
      <c r="C26" s="132"/>
      <c r="D26" s="132"/>
      <c r="E26" s="132"/>
      <c r="U26" s="117" t="s">
        <v>110</v>
      </c>
    </row>
    <row r="27" spans="1:22" x14ac:dyDescent="0.25">
      <c r="A27" s="119" t="s">
        <v>24</v>
      </c>
      <c r="B27" s="132" t="s">
        <v>111</v>
      </c>
      <c r="C27" s="132"/>
      <c r="D27" s="132"/>
      <c r="E27" s="132"/>
      <c r="F27" s="132"/>
      <c r="G27" s="132"/>
      <c r="H27" s="132"/>
      <c r="I27" s="132"/>
      <c r="J27" s="132"/>
      <c r="K27" s="132"/>
      <c r="L27" s="132"/>
      <c r="M27" s="132"/>
      <c r="N27" s="132"/>
      <c r="O27" s="132"/>
      <c r="P27" s="132"/>
      <c r="Q27" s="132"/>
      <c r="R27" s="132"/>
      <c r="S27" s="132"/>
      <c r="T27" s="132"/>
      <c r="U27" s="117" t="s">
        <v>112</v>
      </c>
    </row>
    <row r="28" spans="1:22" x14ac:dyDescent="0.25">
      <c r="A28" s="119" t="s">
        <v>84</v>
      </c>
      <c r="B28" s="132" t="s">
        <v>113</v>
      </c>
      <c r="C28" s="132"/>
      <c r="D28" s="132"/>
      <c r="E28" s="132"/>
      <c r="F28" s="132"/>
      <c r="U28" s="117">
        <v>0</v>
      </c>
    </row>
    <row r="29" spans="1:22" x14ac:dyDescent="0.25">
      <c r="A29" s="119" t="s">
        <v>85</v>
      </c>
      <c r="B29" s="133" t="s">
        <v>114</v>
      </c>
      <c r="C29" s="133"/>
      <c r="D29" s="133"/>
    </row>
    <row r="30" spans="1:22" x14ac:dyDescent="0.25">
      <c r="A30" s="119" t="s">
        <v>87</v>
      </c>
      <c r="B30" s="133" t="s">
        <v>115</v>
      </c>
      <c r="C30" s="133"/>
      <c r="D30" s="133"/>
      <c r="U30" s="117" t="s">
        <v>116</v>
      </c>
    </row>
    <row r="31" spans="1:22" x14ac:dyDescent="0.25">
      <c r="A31" s="119" t="s">
        <v>89</v>
      </c>
      <c r="B31" s="117" t="s">
        <v>117</v>
      </c>
    </row>
    <row r="32" spans="1:22" x14ac:dyDescent="0.25">
      <c r="A32" s="119" t="s">
        <v>91</v>
      </c>
      <c r="B32" s="132" t="s">
        <v>118</v>
      </c>
      <c r="C32" s="132"/>
      <c r="D32" s="132"/>
      <c r="E32" s="132"/>
      <c r="F32" s="132"/>
      <c r="G32" s="132"/>
      <c r="H32" s="132"/>
      <c r="I32" s="132"/>
      <c r="J32" s="132"/>
      <c r="K32" s="132"/>
      <c r="L32" s="132"/>
      <c r="M32" s="132"/>
      <c r="N32" s="132"/>
      <c r="O32" s="132"/>
      <c r="P32" s="132"/>
      <c r="Q32" s="132"/>
      <c r="R32" s="132"/>
      <c r="S32" s="132"/>
      <c r="T32" s="132"/>
      <c r="U32" s="132" t="s">
        <v>98</v>
      </c>
      <c r="V32" s="132"/>
    </row>
    <row r="33" spans="1:28" x14ac:dyDescent="0.25">
      <c r="A33" s="119" t="s">
        <v>93</v>
      </c>
      <c r="B33" s="133" t="s">
        <v>119</v>
      </c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3"/>
      <c r="Q33" s="133"/>
      <c r="R33" s="133"/>
      <c r="S33" s="133"/>
      <c r="T33" s="133"/>
      <c r="U33" s="133" t="s">
        <v>120</v>
      </c>
      <c r="V33" s="133"/>
      <c r="W33" s="133"/>
      <c r="X33" s="133"/>
      <c r="Y33" s="133"/>
      <c r="Z33" s="133"/>
      <c r="AA33" s="133"/>
      <c r="AB33" s="133"/>
    </row>
    <row r="35" spans="1:28" x14ac:dyDescent="0.25">
      <c r="A35" s="134"/>
      <c r="B35" s="135" t="s">
        <v>121</v>
      </c>
      <c r="C35" s="124"/>
      <c r="U35" s="117" t="s">
        <v>122</v>
      </c>
    </row>
    <row r="36" spans="1:28" x14ac:dyDescent="0.25">
      <c r="A36" s="119">
        <v>1</v>
      </c>
      <c r="B36" s="132" t="s">
        <v>123</v>
      </c>
      <c r="C36" s="132"/>
      <c r="D36" s="136"/>
    </row>
    <row r="37" spans="1:28" x14ac:dyDescent="0.25">
      <c r="A37" s="119">
        <v>2</v>
      </c>
      <c r="B37" s="132" t="s">
        <v>124</v>
      </c>
      <c r="C37" s="132"/>
      <c r="D37" s="136"/>
    </row>
    <row r="38" spans="1:28" x14ac:dyDescent="0.25">
      <c r="A38" s="119">
        <v>3</v>
      </c>
      <c r="B38" s="132" t="s">
        <v>125</v>
      </c>
      <c r="C38" s="132"/>
      <c r="D38" s="132"/>
    </row>
    <row r="39" spans="1:28" x14ac:dyDescent="0.25">
      <c r="A39" s="119">
        <v>4</v>
      </c>
      <c r="B39" s="132" t="s">
        <v>126</v>
      </c>
      <c r="C39" s="132"/>
      <c r="D39" s="136"/>
    </row>
    <row r="40" spans="1:28" x14ac:dyDescent="0.25">
      <c r="A40" s="119">
        <v>5</v>
      </c>
      <c r="B40" s="132" t="s">
        <v>127</v>
      </c>
      <c r="C40" s="132"/>
      <c r="D40" s="136"/>
    </row>
  </sheetData>
  <sheetProtection sheet="1" objects="1" scenarios="1"/>
  <phoneticPr fontId="21" type="noConversion"/>
  <pageMargins left="0.7" right="0.7" top="0.75" bottom="0.75" header="0.3" footer="0.3"/>
  <pageSetup paperSize="9" orientation="landscape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2:BT18"/>
  <sheetViews>
    <sheetView zoomScale="150" zoomScaleNormal="150" zoomScalePageLayoutView="15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" sqref="B1"/>
    </sheetView>
  </sheetViews>
  <sheetFormatPr baseColWidth="10" defaultColWidth="10.88671875" defaultRowHeight="14.4" x14ac:dyDescent="0.3"/>
  <cols>
    <col min="1" max="1" width="10.33203125" style="46" customWidth="1"/>
    <col min="2" max="2" width="8" style="46" bestFit="1" customWidth="1"/>
    <col min="3" max="4" width="7.33203125" style="43" bestFit="1" customWidth="1"/>
    <col min="5" max="5" width="7" style="43" bestFit="1" customWidth="1"/>
    <col min="6" max="6" width="7.33203125" style="43" bestFit="1" customWidth="1"/>
    <col min="7" max="7" width="7" style="46" bestFit="1" customWidth="1"/>
    <col min="8" max="9" width="7.33203125" style="43" bestFit="1" customWidth="1"/>
    <col min="10" max="11" width="7" style="43" bestFit="1" customWidth="1"/>
    <col min="12" max="12" width="7.33203125" style="46" bestFit="1" customWidth="1"/>
    <col min="13" max="14" width="7" style="43" bestFit="1" customWidth="1"/>
    <col min="15" max="16" width="7.33203125" style="43" bestFit="1" customWidth="1"/>
    <col min="17" max="17" width="7" style="46" bestFit="1" customWidth="1"/>
    <col min="18" max="18" width="7.33203125" style="43" bestFit="1" customWidth="1"/>
    <col min="19" max="19" width="7" style="43" bestFit="1" customWidth="1"/>
    <col min="20" max="21" width="7.33203125" style="43" bestFit="1" customWidth="1"/>
    <col min="22" max="22" width="9.109375" style="46" bestFit="1" customWidth="1"/>
    <col min="23" max="23" width="9.88671875" style="43" bestFit="1" customWidth="1"/>
    <col min="24" max="26" width="10.88671875" style="43" bestFit="1" customWidth="1"/>
    <col min="27" max="27" width="10.88671875" style="46" bestFit="1" customWidth="1"/>
    <col min="28" max="31" width="10.88671875" style="43" bestFit="1" customWidth="1"/>
    <col min="32" max="32" width="9.33203125" style="46" bestFit="1" customWidth="1"/>
    <col min="33" max="33" width="9.88671875" style="43" bestFit="1" customWidth="1"/>
    <col min="34" max="36" width="10.88671875" style="43" bestFit="1" customWidth="1"/>
    <col min="37" max="37" width="10.88671875" style="46" bestFit="1" customWidth="1"/>
    <col min="38" max="41" width="10.88671875" style="43" bestFit="1" customWidth="1"/>
    <col min="42" max="42" width="9.33203125" style="46" bestFit="1" customWidth="1"/>
    <col min="43" max="46" width="12" style="43" bestFit="1" customWidth="1"/>
    <col min="47" max="47" width="13" style="46" bestFit="1" customWidth="1"/>
    <col min="48" max="51" width="13" style="43" bestFit="1" customWidth="1"/>
    <col min="52" max="52" width="9.33203125" style="46" bestFit="1" customWidth="1"/>
    <col min="53" max="55" width="12" style="43" bestFit="1" customWidth="1"/>
    <col min="56" max="56" width="13" style="43" bestFit="1" customWidth="1"/>
    <col min="57" max="57" width="13" style="46" bestFit="1" customWidth="1"/>
    <col min="58" max="61" width="13" style="43" bestFit="1" customWidth="1"/>
    <col min="62" max="62" width="9.33203125" style="46" bestFit="1" customWidth="1"/>
    <col min="63" max="66" width="9.88671875" style="43" bestFit="1" customWidth="1"/>
    <col min="67" max="67" width="10.88671875" style="46" bestFit="1" customWidth="1"/>
    <col min="68" max="71" width="10.88671875" style="43" bestFit="1" customWidth="1"/>
    <col min="72" max="72" width="9.33203125" style="46" bestFit="1" customWidth="1"/>
    <col min="73" max="16384" width="10.88671875" style="43"/>
  </cols>
  <sheetData>
    <row r="2" spans="1:72" s="52" customFormat="1" x14ac:dyDescent="0.3">
      <c r="A2" s="50" t="s">
        <v>128</v>
      </c>
      <c r="B2" s="51">
        <v>0</v>
      </c>
      <c r="C2" s="51">
        <v>1</v>
      </c>
      <c r="D2" s="51">
        <v>2</v>
      </c>
      <c r="E2" s="51">
        <v>3</v>
      </c>
      <c r="F2" s="51">
        <v>4</v>
      </c>
      <c r="G2" s="51">
        <v>5</v>
      </c>
      <c r="H2" s="51">
        <v>6</v>
      </c>
      <c r="I2" s="51">
        <v>7</v>
      </c>
      <c r="J2" s="51">
        <v>8</v>
      </c>
      <c r="K2" s="51">
        <v>9</v>
      </c>
      <c r="L2" s="51">
        <v>10</v>
      </c>
      <c r="M2" s="51">
        <v>11</v>
      </c>
      <c r="N2" s="51">
        <v>12</v>
      </c>
      <c r="O2" s="51">
        <v>13</v>
      </c>
      <c r="P2" s="51">
        <v>14</v>
      </c>
      <c r="Q2" s="51">
        <v>15</v>
      </c>
      <c r="R2" s="51">
        <v>16</v>
      </c>
      <c r="S2" s="51">
        <v>17</v>
      </c>
      <c r="T2" s="51">
        <v>18</v>
      </c>
      <c r="U2" s="51">
        <v>19</v>
      </c>
      <c r="V2" s="51">
        <v>20</v>
      </c>
      <c r="W2" s="51">
        <v>21</v>
      </c>
      <c r="X2" s="51">
        <v>22</v>
      </c>
      <c r="Y2" s="51">
        <v>23</v>
      </c>
      <c r="Z2" s="51">
        <v>24</v>
      </c>
      <c r="AA2" s="51">
        <v>25</v>
      </c>
      <c r="AB2" s="51">
        <v>26</v>
      </c>
      <c r="AC2" s="51">
        <v>27</v>
      </c>
      <c r="AD2" s="51">
        <v>28</v>
      </c>
      <c r="AE2" s="51">
        <v>29</v>
      </c>
      <c r="AF2" s="51">
        <v>30</v>
      </c>
      <c r="AG2" s="51">
        <v>31</v>
      </c>
      <c r="AH2" s="51">
        <v>32</v>
      </c>
      <c r="AI2" s="51">
        <v>33</v>
      </c>
      <c r="AJ2" s="51">
        <v>34</v>
      </c>
      <c r="AK2" s="51">
        <v>35</v>
      </c>
      <c r="AL2" s="51">
        <v>36</v>
      </c>
      <c r="AM2" s="51">
        <v>37</v>
      </c>
      <c r="AN2" s="51">
        <v>38</v>
      </c>
      <c r="AO2" s="51">
        <v>39</v>
      </c>
      <c r="AP2" s="51">
        <v>40</v>
      </c>
      <c r="AQ2" s="51">
        <v>41</v>
      </c>
      <c r="AR2" s="51">
        <v>42</v>
      </c>
      <c r="AS2" s="51">
        <v>43</v>
      </c>
      <c r="AT2" s="51">
        <v>44</v>
      </c>
      <c r="AU2" s="51">
        <v>45</v>
      </c>
      <c r="AV2" s="51">
        <v>46</v>
      </c>
      <c r="AW2" s="51">
        <v>47</v>
      </c>
      <c r="AX2" s="51">
        <v>48</v>
      </c>
      <c r="AY2" s="51">
        <v>49</v>
      </c>
      <c r="AZ2" s="51">
        <v>50</v>
      </c>
      <c r="BA2" s="51">
        <v>51</v>
      </c>
      <c r="BB2" s="51">
        <v>52</v>
      </c>
      <c r="BC2" s="51">
        <v>53</v>
      </c>
      <c r="BD2" s="51">
        <v>54</v>
      </c>
      <c r="BE2" s="51">
        <v>55</v>
      </c>
      <c r="BF2" s="51">
        <v>56</v>
      </c>
      <c r="BG2" s="51">
        <v>57</v>
      </c>
      <c r="BH2" s="51">
        <v>58</v>
      </c>
      <c r="BI2" s="51">
        <v>59</v>
      </c>
      <c r="BJ2" s="51">
        <v>60</v>
      </c>
      <c r="BK2" s="51">
        <v>61</v>
      </c>
      <c r="BL2" s="51">
        <v>62</v>
      </c>
      <c r="BM2" s="51">
        <v>63</v>
      </c>
      <c r="BN2" s="51">
        <v>64</v>
      </c>
      <c r="BO2" s="51">
        <v>65</v>
      </c>
      <c r="BP2" s="51">
        <v>66</v>
      </c>
      <c r="BQ2" s="51">
        <v>67</v>
      </c>
      <c r="BR2" s="51">
        <v>68</v>
      </c>
      <c r="BS2" s="51">
        <v>69</v>
      </c>
      <c r="BT2" s="51">
        <v>70</v>
      </c>
    </row>
    <row r="3" spans="1:72" x14ac:dyDescent="0.3">
      <c r="A3" s="47" t="s">
        <v>82</v>
      </c>
      <c r="B3" s="48">
        <v>1</v>
      </c>
      <c r="C3" s="49">
        <f>B3</f>
        <v>1</v>
      </c>
      <c r="D3" s="49">
        <f>+(C3+E3)/2</f>
        <v>0.98750000000000004</v>
      </c>
      <c r="E3" s="49">
        <f>+(C3+G3)/2</f>
        <v>0.97499999999999998</v>
      </c>
      <c r="F3" s="49">
        <f>+(E3+G3)/2</f>
        <v>0.96249999999999991</v>
      </c>
      <c r="G3" s="48">
        <f t="shared" ref="G3:G11" si="0">+(B3+L3)/2</f>
        <v>0.95</v>
      </c>
      <c r="H3" s="49">
        <f>G3</f>
        <v>0.95</v>
      </c>
      <c r="I3" s="49">
        <f>+(H3+J3)/2</f>
        <v>0.9375</v>
      </c>
      <c r="J3" s="49">
        <f>+(H3+L3)/2</f>
        <v>0.92500000000000004</v>
      </c>
      <c r="K3" s="49">
        <f>+(J3+L3)/2</f>
        <v>0.91250000000000009</v>
      </c>
      <c r="L3" s="48">
        <v>0.9</v>
      </c>
      <c r="M3" s="49">
        <f>L3</f>
        <v>0.9</v>
      </c>
      <c r="N3" s="49">
        <f>+(M3+O3)/2</f>
        <v>0.89</v>
      </c>
      <c r="O3" s="49">
        <f>+(M3+Q3)/2</f>
        <v>0.88</v>
      </c>
      <c r="P3" s="49">
        <f>+(O3+Q3)/2</f>
        <v>0.87</v>
      </c>
      <c r="Q3" s="48">
        <f t="shared" ref="Q3:Q11" si="1">+(L3+V3)/2</f>
        <v>0.86</v>
      </c>
      <c r="R3" s="49">
        <f>Q3</f>
        <v>0.86</v>
      </c>
      <c r="S3" s="49">
        <f>+(R3+T3)/2</f>
        <v>0.85</v>
      </c>
      <c r="T3" s="49">
        <f>+(R3+V3)/2</f>
        <v>0.84</v>
      </c>
      <c r="U3" s="49">
        <f>+(T3+V3)/2</f>
        <v>0.83</v>
      </c>
      <c r="V3" s="48">
        <v>0.82</v>
      </c>
      <c r="W3" s="49">
        <f>V3</f>
        <v>0.82</v>
      </c>
      <c r="X3" s="49">
        <f>+(W3+Y3)/2</f>
        <v>0.8</v>
      </c>
      <c r="Y3" s="49">
        <f>+(W3+AA3)/2</f>
        <v>0.78</v>
      </c>
      <c r="Z3" s="49">
        <f>+(Y3+AA3)/2</f>
        <v>0.76</v>
      </c>
      <c r="AA3" s="48">
        <f t="shared" ref="AA3:AA11" si="2">+(V3+AF3)/2</f>
        <v>0.74</v>
      </c>
      <c r="AB3" s="49">
        <f>AA3</f>
        <v>0.74</v>
      </c>
      <c r="AC3" s="49">
        <f>+(AB3+AD3)/2</f>
        <v>0.72</v>
      </c>
      <c r="AD3" s="49">
        <f>+(AB3+AF3)/2</f>
        <v>0.7</v>
      </c>
      <c r="AE3" s="49">
        <f>+(AD3+AF3)/2</f>
        <v>0.67999999999999994</v>
      </c>
      <c r="AF3" s="48">
        <v>0.66</v>
      </c>
      <c r="AG3" s="49">
        <f>AF3</f>
        <v>0.66</v>
      </c>
      <c r="AH3" s="49">
        <f>+(AG3+AI3)/2</f>
        <v>0.64500000000000002</v>
      </c>
      <c r="AI3" s="49">
        <f>+(AG3+AK3)/2</f>
        <v>0.63000000000000012</v>
      </c>
      <c r="AJ3" s="49">
        <f>+(AI3+AK3)/2</f>
        <v>0.6150000000000001</v>
      </c>
      <c r="AK3" s="48">
        <f t="shared" ref="AK3:AK11" si="3">+(AF3+AP3)/2</f>
        <v>0.60000000000000009</v>
      </c>
      <c r="AL3" s="49">
        <f>AK3</f>
        <v>0.60000000000000009</v>
      </c>
      <c r="AM3" s="49">
        <f>+(AL3+AN3)/2</f>
        <v>0.58500000000000008</v>
      </c>
      <c r="AN3" s="49">
        <f>+(AL3+AP3)/2</f>
        <v>0.57000000000000006</v>
      </c>
      <c r="AO3" s="49">
        <f>+(AN3+AP3)/2</f>
        <v>0.55500000000000005</v>
      </c>
      <c r="AP3" s="48">
        <v>0.54</v>
      </c>
      <c r="AQ3" s="49">
        <f>AP3</f>
        <v>0.54</v>
      </c>
      <c r="AR3" s="49">
        <f>+(AQ3+AS3)/2</f>
        <v>0.52750000000000008</v>
      </c>
      <c r="AS3" s="49">
        <f>+(AQ3+AU3)/2</f>
        <v>0.51500000000000001</v>
      </c>
      <c r="AT3" s="49">
        <f>+(AS3+AU3)/2</f>
        <v>0.50249999999999995</v>
      </c>
      <c r="AU3" s="48">
        <f t="shared" ref="AU3:AU11" si="4">+(AP3+AZ3)/2</f>
        <v>0.49</v>
      </c>
      <c r="AV3" s="49">
        <f>AU3</f>
        <v>0.49</v>
      </c>
      <c r="AW3" s="49">
        <f>+(AV3+AX3)/2</f>
        <v>0.47749999999999998</v>
      </c>
      <c r="AX3" s="49">
        <f>+(AV3+AZ3)/2</f>
        <v>0.46499999999999997</v>
      </c>
      <c r="AY3" s="49">
        <f>+(AX3+AZ3)/2</f>
        <v>0.45250000000000001</v>
      </c>
      <c r="AZ3" s="48">
        <v>0.44</v>
      </c>
      <c r="BA3" s="49">
        <f>AZ3</f>
        <v>0.44</v>
      </c>
      <c r="BB3" s="49">
        <f>+(BA3+BC3)/2</f>
        <v>0.4325</v>
      </c>
      <c r="BC3" s="49">
        <f>+(BA3+BE3)/2</f>
        <v>0.42500000000000004</v>
      </c>
      <c r="BD3" s="49">
        <f>+(BC3+BE3)/2</f>
        <v>0.41750000000000004</v>
      </c>
      <c r="BE3" s="48">
        <f t="shared" ref="BE3:BE11" si="5">+(AZ3+BJ3)/2</f>
        <v>0.41000000000000003</v>
      </c>
      <c r="BF3" s="49">
        <f>BE3</f>
        <v>0.41000000000000003</v>
      </c>
      <c r="BG3" s="49">
        <f>+(BF3+BH3)/2</f>
        <v>0.40250000000000002</v>
      </c>
      <c r="BH3" s="49">
        <f>+(BF3+BJ3)/2</f>
        <v>0.39500000000000002</v>
      </c>
      <c r="BI3" s="49">
        <f>+(BH3+BJ3)/2</f>
        <v>0.38750000000000001</v>
      </c>
      <c r="BJ3" s="48">
        <v>0.38</v>
      </c>
      <c r="BK3" s="49">
        <f>BJ3</f>
        <v>0.38</v>
      </c>
      <c r="BL3" s="49">
        <f>+(BK3+BM3)/2</f>
        <v>0.37</v>
      </c>
      <c r="BM3" s="49">
        <f>+(BK3+BO3)/2</f>
        <v>0.36</v>
      </c>
      <c r="BN3" s="49">
        <f>+(BM3+BO3)/2</f>
        <v>0.35</v>
      </c>
      <c r="BO3" s="48">
        <f t="shared" ref="BO3:BO11" si="6">+(BJ3+BT3)/2</f>
        <v>0.33999999999999997</v>
      </c>
      <c r="BP3" s="49">
        <f>BO3</f>
        <v>0.33999999999999997</v>
      </c>
      <c r="BQ3" s="49">
        <f>+(BP3+BR3)/2</f>
        <v>0.32999999999999996</v>
      </c>
      <c r="BR3" s="49">
        <f>+(BP3+BT3)/2</f>
        <v>0.31999999999999995</v>
      </c>
      <c r="BS3" s="49">
        <f>+(BR3+BT3)/2</f>
        <v>0.30999999999999994</v>
      </c>
      <c r="BT3" s="48">
        <v>0.3</v>
      </c>
    </row>
    <row r="4" spans="1:72" x14ac:dyDescent="0.3">
      <c r="A4" s="47" t="s">
        <v>83</v>
      </c>
      <c r="B4" s="48">
        <v>1</v>
      </c>
      <c r="C4" s="49">
        <f t="shared" ref="C4:C11" si="7">B4</f>
        <v>1</v>
      </c>
      <c r="D4" s="49">
        <f t="shared" ref="D4:D11" si="8">+(C4+E4)/2</f>
        <v>0.99</v>
      </c>
      <c r="E4" s="49">
        <f t="shared" ref="E4:E11" si="9">+(C4+G4)/2</f>
        <v>0.98</v>
      </c>
      <c r="F4" s="49">
        <f t="shared" ref="F4:F11" si="10">+(E4+G4)/2</f>
        <v>0.97</v>
      </c>
      <c r="G4" s="48">
        <f t="shared" si="0"/>
        <v>0.96</v>
      </c>
      <c r="H4" s="49">
        <f t="shared" ref="H4:H11" si="11">G4</f>
        <v>0.96</v>
      </c>
      <c r="I4" s="49">
        <f t="shared" ref="I4:I11" si="12">+(H4+J4)/2</f>
        <v>0.95</v>
      </c>
      <c r="J4" s="49">
        <f t="shared" ref="J4:J11" si="13">+(H4+L4)/2</f>
        <v>0.94</v>
      </c>
      <c r="K4" s="49">
        <f t="shared" ref="K4:K11" si="14">+(J4+L4)/2</f>
        <v>0.92999999999999994</v>
      </c>
      <c r="L4" s="48">
        <v>0.92</v>
      </c>
      <c r="M4" s="49">
        <f t="shared" ref="M4:M11" si="15">L4</f>
        <v>0.92</v>
      </c>
      <c r="N4" s="49">
        <f t="shared" ref="N4:N11" si="16">+(M4+O4)/2</f>
        <v>0.89624999999999999</v>
      </c>
      <c r="O4" s="49">
        <f t="shared" ref="O4:O11" si="17">+(M4+Q4)/2</f>
        <v>0.87250000000000005</v>
      </c>
      <c r="P4" s="49">
        <f t="shared" ref="P4:P11" si="18">+(O4+Q4)/2</f>
        <v>0.84875</v>
      </c>
      <c r="Q4" s="48">
        <f t="shared" si="1"/>
        <v>0.82499999999999996</v>
      </c>
      <c r="R4" s="49">
        <f t="shared" ref="R4:R11" si="19">Q4</f>
        <v>0.82499999999999996</v>
      </c>
      <c r="S4" s="49">
        <f t="shared" ref="S4:S11" si="20">+(R4+T4)/2</f>
        <v>0.80125000000000002</v>
      </c>
      <c r="T4" s="49">
        <f t="shared" ref="T4:T11" si="21">+(R4+V4)/2</f>
        <v>0.77749999999999997</v>
      </c>
      <c r="U4" s="49">
        <f t="shared" ref="U4:U11" si="22">+(T4+V4)/2</f>
        <v>0.75374999999999992</v>
      </c>
      <c r="V4" s="48">
        <v>0.73</v>
      </c>
      <c r="W4" s="49">
        <f t="shared" ref="W4:W11" si="23">V4</f>
        <v>0.73</v>
      </c>
      <c r="X4" s="49">
        <f t="shared" ref="X4:X11" si="24">+(W4+Y4)/2</f>
        <v>0.70625000000000004</v>
      </c>
      <c r="Y4" s="49">
        <f t="shared" ref="Y4:Y11" si="25">+(W4+AA4)/2</f>
        <v>0.6825</v>
      </c>
      <c r="Z4" s="49">
        <f t="shared" ref="Z4:Z11" si="26">+(Y4+AA4)/2</f>
        <v>0.65874999999999995</v>
      </c>
      <c r="AA4" s="48">
        <f t="shared" si="2"/>
        <v>0.63500000000000001</v>
      </c>
      <c r="AB4" s="49">
        <f t="shared" ref="AB4:AB11" si="27">AA4</f>
        <v>0.63500000000000001</v>
      </c>
      <c r="AC4" s="49">
        <f t="shared" ref="AC4:AC11" si="28">+(AB4+AD4)/2</f>
        <v>0.61125000000000007</v>
      </c>
      <c r="AD4" s="49">
        <f t="shared" ref="AD4:AD11" si="29">+(AB4+AF4)/2</f>
        <v>0.58750000000000002</v>
      </c>
      <c r="AE4" s="49">
        <f t="shared" ref="AE4:AE11" si="30">+(AD4+AF4)/2</f>
        <v>0.56374999999999997</v>
      </c>
      <c r="AF4" s="48">
        <v>0.54</v>
      </c>
      <c r="AG4" s="49">
        <f t="shared" ref="AG4:AG11" si="31">AF4</f>
        <v>0.54</v>
      </c>
      <c r="AH4" s="49">
        <f t="shared" ref="AH4:AH11" si="32">+(AG4+AI4)/2</f>
        <v>0.52249999999999996</v>
      </c>
      <c r="AI4" s="49">
        <f t="shared" ref="AI4:AI11" si="33">+(AG4+AK4)/2</f>
        <v>0.505</v>
      </c>
      <c r="AJ4" s="49">
        <f t="shared" ref="AJ4:AJ11" si="34">+(AI4+AK4)/2</f>
        <v>0.48750000000000004</v>
      </c>
      <c r="AK4" s="48">
        <f t="shared" si="3"/>
        <v>0.47000000000000003</v>
      </c>
      <c r="AL4" s="49">
        <f t="shared" ref="AL4:AL11" si="35">AK4</f>
        <v>0.47000000000000003</v>
      </c>
      <c r="AM4" s="49">
        <f t="shared" ref="AM4:AM11" si="36">+(AL4+AN4)/2</f>
        <v>0.45250000000000001</v>
      </c>
      <c r="AN4" s="49">
        <f t="shared" ref="AN4:AN11" si="37">+(AL4+AP4)/2</f>
        <v>0.43500000000000005</v>
      </c>
      <c r="AO4" s="49">
        <f t="shared" ref="AO4:AO11" si="38">+(AN4+AP4)/2</f>
        <v>0.41750000000000004</v>
      </c>
      <c r="AP4" s="48">
        <v>0.4</v>
      </c>
      <c r="AQ4" s="49">
        <f t="shared" ref="AQ4:AQ11" si="39">AP4</f>
        <v>0.4</v>
      </c>
      <c r="AR4" s="49">
        <f t="shared" ref="AR4:AR11" si="40">+(AQ4+AS4)/2</f>
        <v>0.38624999999999998</v>
      </c>
      <c r="AS4" s="49">
        <f t="shared" ref="AS4:AS11" si="41">+(AQ4+AU4)/2</f>
        <v>0.3725</v>
      </c>
      <c r="AT4" s="49">
        <f t="shared" ref="AT4:AT11" si="42">+(AS4+AU4)/2</f>
        <v>0.35875000000000001</v>
      </c>
      <c r="AU4" s="48">
        <f t="shared" si="4"/>
        <v>0.34499999999999997</v>
      </c>
      <c r="AV4" s="49">
        <f t="shared" ref="AV4:AV11" si="43">AU4</f>
        <v>0.34499999999999997</v>
      </c>
      <c r="AW4" s="49">
        <f t="shared" ref="AW4:AW11" si="44">+(AV4+AX4)/2</f>
        <v>0.33124999999999999</v>
      </c>
      <c r="AX4" s="49">
        <f t="shared" ref="AX4:AX11" si="45">+(AV4+AZ4)/2</f>
        <v>0.3175</v>
      </c>
      <c r="AY4" s="49">
        <f t="shared" ref="AY4:AY11" si="46">+(AX4+AZ4)/2</f>
        <v>0.30374999999999996</v>
      </c>
      <c r="AZ4" s="48">
        <v>0.28999999999999998</v>
      </c>
      <c r="BA4" s="49">
        <f t="shared" ref="BA4:BA11" si="47">AZ4</f>
        <v>0.28999999999999998</v>
      </c>
      <c r="BB4" s="49">
        <f t="shared" ref="BB4:BB11" si="48">+(BA4+BC4)/2</f>
        <v>0.28000000000000003</v>
      </c>
      <c r="BC4" s="49">
        <f t="shared" ref="BC4:BC11" si="49">+(BA4+BE4)/2</f>
        <v>0.27</v>
      </c>
      <c r="BD4" s="49">
        <f t="shared" ref="BD4:BD11" si="50">+(BC4+BE4)/2</f>
        <v>0.26</v>
      </c>
      <c r="BE4" s="48">
        <f t="shared" si="5"/>
        <v>0.25</v>
      </c>
      <c r="BF4" s="49">
        <f t="shared" ref="BF4:BF11" si="51">BE4</f>
        <v>0.25</v>
      </c>
      <c r="BG4" s="49">
        <f t="shared" ref="BG4:BG11" si="52">+(BF4+BH4)/2</f>
        <v>0.24</v>
      </c>
      <c r="BH4" s="49">
        <f t="shared" ref="BH4:BH11" si="53">+(BF4+BJ4)/2</f>
        <v>0.22999999999999998</v>
      </c>
      <c r="BI4" s="49">
        <f t="shared" ref="BI4:BI11" si="54">+(BH4+BJ4)/2</f>
        <v>0.21999999999999997</v>
      </c>
      <c r="BJ4" s="48">
        <v>0.21</v>
      </c>
      <c r="BK4" s="49">
        <f t="shared" ref="BK4:BK11" si="55">BJ4</f>
        <v>0.21</v>
      </c>
      <c r="BL4" s="49">
        <f t="shared" ref="BL4:BL11" si="56">+(BK4+BM4)/2</f>
        <v>0.20374999999999999</v>
      </c>
      <c r="BM4" s="49">
        <f t="shared" ref="BM4:BM11" si="57">+(BK4+BO4)/2</f>
        <v>0.19750000000000001</v>
      </c>
      <c r="BN4" s="49">
        <f t="shared" ref="BN4:BN11" si="58">+(BM4+BO4)/2</f>
        <v>0.19125</v>
      </c>
      <c r="BO4" s="48">
        <f t="shared" si="6"/>
        <v>0.185</v>
      </c>
      <c r="BP4" s="49">
        <f t="shared" ref="BP4:BP11" si="59">BO4</f>
        <v>0.185</v>
      </c>
      <c r="BQ4" s="49">
        <f t="shared" ref="BQ4:BQ11" si="60">+(BP4+BR4)/2</f>
        <v>0.17874999999999999</v>
      </c>
      <c r="BR4" s="49">
        <f t="shared" ref="BR4:BR11" si="61">+(BP4+BT4)/2</f>
        <v>0.17249999999999999</v>
      </c>
      <c r="BS4" s="49">
        <f t="shared" ref="BS4:BS11" si="62">+(BR4+BT4)/2</f>
        <v>0.16625000000000001</v>
      </c>
      <c r="BT4" s="48">
        <v>0.16</v>
      </c>
    </row>
    <row r="5" spans="1:72" x14ac:dyDescent="0.3">
      <c r="A5" s="47" t="s">
        <v>24</v>
      </c>
      <c r="B5" s="48">
        <v>1</v>
      </c>
      <c r="C5" s="49">
        <f t="shared" si="7"/>
        <v>1</v>
      </c>
      <c r="D5" s="49">
        <f t="shared" si="8"/>
        <v>0.98750000000000004</v>
      </c>
      <c r="E5" s="49">
        <f t="shared" si="9"/>
        <v>0.97499999999999998</v>
      </c>
      <c r="F5" s="49">
        <f t="shared" si="10"/>
        <v>0.96249999999999991</v>
      </c>
      <c r="G5" s="48">
        <f t="shared" si="0"/>
        <v>0.95</v>
      </c>
      <c r="H5" s="49">
        <f t="shared" si="11"/>
        <v>0.95</v>
      </c>
      <c r="I5" s="49">
        <f t="shared" si="12"/>
        <v>0.9375</v>
      </c>
      <c r="J5" s="49">
        <f t="shared" si="13"/>
        <v>0.92500000000000004</v>
      </c>
      <c r="K5" s="49">
        <f t="shared" si="14"/>
        <v>0.91250000000000009</v>
      </c>
      <c r="L5" s="48">
        <v>0.9</v>
      </c>
      <c r="M5" s="49">
        <f t="shared" si="15"/>
        <v>0.9</v>
      </c>
      <c r="N5" s="49">
        <f t="shared" si="16"/>
        <v>0.87000000000000011</v>
      </c>
      <c r="O5" s="49">
        <f t="shared" si="17"/>
        <v>0.84000000000000008</v>
      </c>
      <c r="P5" s="49">
        <f t="shared" si="18"/>
        <v>0.81</v>
      </c>
      <c r="Q5" s="48">
        <f t="shared" si="1"/>
        <v>0.78</v>
      </c>
      <c r="R5" s="49">
        <f t="shared" si="19"/>
        <v>0.78</v>
      </c>
      <c r="S5" s="49">
        <f t="shared" si="20"/>
        <v>0.75</v>
      </c>
      <c r="T5" s="49">
        <f t="shared" si="21"/>
        <v>0.72</v>
      </c>
      <c r="U5" s="49">
        <f t="shared" si="22"/>
        <v>0.69</v>
      </c>
      <c r="V5" s="48">
        <v>0.66</v>
      </c>
      <c r="W5" s="49">
        <f t="shared" si="23"/>
        <v>0.66</v>
      </c>
      <c r="X5" s="49">
        <f t="shared" si="24"/>
        <v>0.63250000000000006</v>
      </c>
      <c r="Y5" s="49">
        <f t="shared" si="25"/>
        <v>0.60499999999999998</v>
      </c>
      <c r="Z5" s="49">
        <f t="shared" si="26"/>
        <v>0.57750000000000001</v>
      </c>
      <c r="AA5" s="48">
        <f t="shared" si="2"/>
        <v>0.55000000000000004</v>
      </c>
      <c r="AB5" s="49">
        <f t="shared" si="27"/>
        <v>0.55000000000000004</v>
      </c>
      <c r="AC5" s="49">
        <f t="shared" si="28"/>
        <v>0.52249999999999996</v>
      </c>
      <c r="AD5" s="49">
        <f t="shared" si="29"/>
        <v>0.495</v>
      </c>
      <c r="AE5" s="49">
        <f t="shared" si="30"/>
        <v>0.46750000000000003</v>
      </c>
      <c r="AF5" s="48">
        <v>0.44</v>
      </c>
      <c r="AG5" s="49">
        <f t="shared" si="31"/>
        <v>0.44</v>
      </c>
      <c r="AH5" s="49">
        <f t="shared" si="32"/>
        <v>0.42125000000000001</v>
      </c>
      <c r="AI5" s="49">
        <f t="shared" si="33"/>
        <v>0.40249999999999997</v>
      </c>
      <c r="AJ5" s="49">
        <f t="shared" si="34"/>
        <v>0.38374999999999998</v>
      </c>
      <c r="AK5" s="48">
        <f t="shared" si="3"/>
        <v>0.36499999999999999</v>
      </c>
      <c r="AL5" s="49">
        <f t="shared" si="35"/>
        <v>0.36499999999999999</v>
      </c>
      <c r="AM5" s="49">
        <f t="shared" si="36"/>
        <v>0.34625</v>
      </c>
      <c r="AN5" s="49">
        <f t="shared" si="37"/>
        <v>0.32750000000000001</v>
      </c>
      <c r="AO5" s="49">
        <f t="shared" si="38"/>
        <v>0.30874999999999997</v>
      </c>
      <c r="AP5" s="48">
        <v>0.28999999999999998</v>
      </c>
      <c r="AQ5" s="49">
        <f t="shared" si="39"/>
        <v>0.28999999999999998</v>
      </c>
      <c r="AR5" s="49">
        <f t="shared" si="40"/>
        <v>0.27749999999999997</v>
      </c>
      <c r="AS5" s="49">
        <f t="shared" si="41"/>
        <v>0.26500000000000001</v>
      </c>
      <c r="AT5" s="49">
        <f t="shared" si="42"/>
        <v>0.2525</v>
      </c>
      <c r="AU5" s="48">
        <f t="shared" si="4"/>
        <v>0.24</v>
      </c>
      <c r="AV5" s="49">
        <f t="shared" si="43"/>
        <v>0.24</v>
      </c>
      <c r="AW5" s="49">
        <f t="shared" si="44"/>
        <v>0.22749999999999998</v>
      </c>
      <c r="AX5" s="49">
        <f t="shared" si="45"/>
        <v>0.215</v>
      </c>
      <c r="AY5" s="49">
        <f t="shared" si="46"/>
        <v>0.20250000000000001</v>
      </c>
      <c r="AZ5" s="48">
        <v>0.19</v>
      </c>
      <c r="BA5" s="49">
        <f t="shared" si="47"/>
        <v>0.19</v>
      </c>
      <c r="BB5" s="49">
        <f t="shared" si="48"/>
        <v>0.1825</v>
      </c>
      <c r="BC5" s="49">
        <f t="shared" si="49"/>
        <v>0.17499999999999999</v>
      </c>
      <c r="BD5" s="49">
        <f t="shared" si="50"/>
        <v>0.16749999999999998</v>
      </c>
      <c r="BE5" s="48">
        <f t="shared" si="5"/>
        <v>0.16</v>
      </c>
      <c r="BF5" s="49">
        <f t="shared" si="51"/>
        <v>0.16</v>
      </c>
      <c r="BG5" s="49">
        <f t="shared" si="52"/>
        <v>0.15250000000000002</v>
      </c>
      <c r="BH5" s="49">
        <f t="shared" si="53"/>
        <v>0.14500000000000002</v>
      </c>
      <c r="BI5" s="49">
        <f t="shared" si="54"/>
        <v>0.13750000000000001</v>
      </c>
      <c r="BJ5" s="48">
        <v>0.13</v>
      </c>
      <c r="BK5" s="49">
        <f t="shared" si="55"/>
        <v>0.13</v>
      </c>
      <c r="BL5" s="49">
        <f t="shared" si="56"/>
        <v>0.12375</v>
      </c>
      <c r="BM5" s="49">
        <f t="shared" si="57"/>
        <v>0.11750000000000001</v>
      </c>
      <c r="BN5" s="49">
        <f t="shared" si="58"/>
        <v>0.11125000000000002</v>
      </c>
      <c r="BO5" s="48">
        <f t="shared" si="6"/>
        <v>0.10500000000000001</v>
      </c>
      <c r="BP5" s="49">
        <f t="shared" si="59"/>
        <v>0.10500000000000001</v>
      </c>
      <c r="BQ5" s="49">
        <f t="shared" si="60"/>
        <v>9.8750000000000004E-2</v>
      </c>
      <c r="BR5" s="49">
        <f t="shared" si="61"/>
        <v>9.2499999999999999E-2</v>
      </c>
      <c r="BS5" s="49">
        <f t="shared" si="62"/>
        <v>8.6249999999999993E-2</v>
      </c>
      <c r="BT5" s="48">
        <v>0.08</v>
      </c>
    </row>
    <row r="6" spans="1:72" x14ac:dyDescent="0.3">
      <c r="A6" s="47" t="s">
        <v>84</v>
      </c>
      <c r="B6" s="48">
        <v>1</v>
      </c>
      <c r="C6" s="49">
        <f t="shared" si="7"/>
        <v>1</v>
      </c>
      <c r="D6" s="49">
        <f t="shared" si="8"/>
        <v>0.96875</v>
      </c>
      <c r="E6" s="49">
        <f t="shared" si="9"/>
        <v>0.9375</v>
      </c>
      <c r="F6" s="49">
        <f t="shared" si="10"/>
        <v>0.90625</v>
      </c>
      <c r="G6" s="48">
        <f t="shared" si="0"/>
        <v>0.875</v>
      </c>
      <c r="H6" s="49">
        <f t="shared" si="11"/>
        <v>0.875</v>
      </c>
      <c r="I6" s="49">
        <f t="shared" si="12"/>
        <v>0.84375</v>
      </c>
      <c r="J6" s="49">
        <f t="shared" si="13"/>
        <v>0.8125</v>
      </c>
      <c r="K6" s="49">
        <f t="shared" si="14"/>
        <v>0.78125</v>
      </c>
      <c r="L6" s="48">
        <v>0.75</v>
      </c>
      <c r="M6" s="49">
        <f t="shared" si="15"/>
        <v>0.75</v>
      </c>
      <c r="N6" s="49">
        <f t="shared" si="16"/>
        <v>0.73124999999999996</v>
      </c>
      <c r="O6" s="49">
        <f t="shared" si="17"/>
        <v>0.71250000000000002</v>
      </c>
      <c r="P6" s="49">
        <f t="shared" si="18"/>
        <v>0.69375000000000009</v>
      </c>
      <c r="Q6" s="48">
        <f t="shared" si="1"/>
        <v>0.67500000000000004</v>
      </c>
      <c r="R6" s="49">
        <f t="shared" si="19"/>
        <v>0.67500000000000004</v>
      </c>
      <c r="S6" s="49">
        <f t="shared" si="20"/>
        <v>0.65625</v>
      </c>
      <c r="T6" s="49">
        <f t="shared" si="21"/>
        <v>0.63749999999999996</v>
      </c>
      <c r="U6" s="49">
        <f t="shared" si="22"/>
        <v>0.61874999999999991</v>
      </c>
      <c r="V6" s="48">
        <v>0.6</v>
      </c>
      <c r="W6" s="49">
        <f t="shared" si="23"/>
        <v>0.6</v>
      </c>
      <c r="X6" s="49">
        <f t="shared" si="24"/>
        <v>0.57125000000000004</v>
      </c>
      <c r="Y6" s="49">
        <f t="shared" si="25"/>
        <v>0.54249999999999998</v>
      </c>
      <c r="Z6" s="49">
        <f t="shared" si="26"/>
        <v>0.51374999999999993</v>
      </c>
      <c r="AA6" s="48">
        <f t="shared" si="2"/>
        <v>0.48499999999999999</v>
      </c>
      <c r="AB6" s="49">
        <f t="shared" si="27"/>
        <v>0.48499999999999999</v>
      </c>
      <c r="AC6" s="49">
        <f t="shared" si="28"/>
        <v>0.45624999999999999</v>
      </c>
      <c r="AD6" s="49">
        <f t="shared" si="29"/>
        <v>0.42749999999999999</v>
      </c>
      <c r="AE6" s="49">
        <f t="shared" si="30"/>
        <v>0.39874999999999999</v>
      </c>
      <c r="AF6" s="48">
        <v>0.37</v>
      </c>
      <c r="AG6" s="49">
        <f t="shared" si="31"/>
        <v>0.37</v>
      </c>
      <c r="AH6" s="49">
        <f t="shared" si="32"/>
        <v>0.35125000000000001</v>
      </c>
      <c r="AI6" s="49">
        <f t="shared" si="33"/>
        <v>0.33250000000000002</v>
      </c>
      <c r="AJ6" s="49">
        <f t="shared" si="34"/>
        <v>0.31374999999999997</v>
      </c>
      <c r="AK6" s="48">
        <f t="shared" si="3"/>
        <v>0.29499999999999998</v>
      </c>
      <c r="AL6" s="49">
        <f t="shared" si="35"/>
        <v>0.29499999999999998</v>
      </c>
      <c r="AM6" s="49">
        <f t="shared" si="36"/>
        <v>0.27625</v>
      </c>
      <c r="AN6" s="49">
        <f t="shared" si="37"/>
        <v>0.25750000000000001</v>
      </c>
      <c r="AO6" s="49">
        <f t="shared" si="38"/>
        <v>0.23875000000000002</v>
      </c>
      <c r="AP6" s="48">
        <v>0.22</v>
      </c>
      <c r="AQ6" s="49">
        <f t="shared" si="39"/>
        <v>0.22</v>
      </c>
      <c r="AR6" s="49">
        <f t="shared" si="40"/>
        <v>0.20874999999999999</v>
      </c>
      <c r="AS6" s="49">
        <f t="shared" si="41"/>
        <v>0.19750000000000001</v>
      </c>
      <c r="AT6" s="49">
        <f t="shared" si="42"/>
        <v>0.18625</v>
      </c>
      <c r="AU6" s="48">
        <f t="shared" si="4"/>
        <v>0.17499999999999999</v>
      </c>
      <c r="AV6" s="49">
        <f t="shared" si="43"/>
        <v>0.17499999999999999</v>
      </c>
      <c r="AW6" s="49">
        <f t="shared" si="44"/>
        <v>0.16375000000000001</v>
      </c>
      <c r="AX6" s="49">
        <f t="shared" si="45"/>
        <v>0.1525</v>
      </c>
      <c r="AY6" s="49">
        <f t="shared" si="46"/>
        <v>0.14124999999999999</v>
      </c>
      <c r="AZ6" s="48">
        <v>0.13</v>
      </c>
      <c r="BA6" s="49">
        <f t="shared" si="47"/>
        <v>0.13</v>
      </c>
      <c r="BB6" s="49">
        <f t="shared" si="48"/>
        <v>0.1225</v>
      </c>
      <c r="BC6" s="49">
        <f t="shared" si="49"/>
        <v>0.115</v>
      </c>
      <c r="BD6" s="49">
        <f t="shared" si="50"/>
        <v>0.10750000000000001</v>
      </c>
      <c r="BE6" s="48">
        <f t="shared" si="5"/>
        <v>0.1</v>
      </c>
      <c r="BF6" s="49">
        <f t="shared" si="51"/>
        <v>0.1</v>
      </c>
      <c r="BG6" s="49">
        <f t="shared" si="52"/>
        <v>9.2499999999999999E-2</v>
      </c>
      <c r="BH6" s="49">
        <f t="shared" si="53"/>
        <v>8.5000000000000006E-2</v>
      </c>
      <c r="BI6" s="49">
        <f t="shared" si="54"/>
        <v>7.7500000000000013E-2</v>
      </c>
      <c r="BJ6" s="48">
        <v>7.0000000000000007E-2</v>
      </c>
      <c r="BK6" s="49">
        <f t="shared" si="55"/>
        <v>7.0000000000000007E-2</v>
      </c>
      <c r="BL6" s="49">
        <f t="shared" si="56"/>
        <v>6.6250000000000003E-2</v>
      </c>
      <c r="BM6" s="49">
        <f t="shared" si="57"/>
        <v>6.25E-2</v>
      </c>
      <c r="BN6" s="49">
        <f t="shared" si="58"/>
        <v>5.8750000000000004E-2</v>
      </c>
      <c r="BO6" s="48">
        <f t="shared" si="6"/>
        <v>5.5000000000000007E-2</v>
      </c>
      <c r="BP6" s="49">
        <f t="shared" si="59"/>
        <v>5.5000000000000007E-2</v>
      </c>
      <c r="BQ6" s="49">
        <f t="shared" si="60"/>
        <v>5.1250000000000004E-2</v>
      </c>
      <c r="BR6" s="49">
        <f t="shared" si="61"/>
        <v>4.7500000000000001E-2</v>
      </c>
      <c r="BS6" s="49">
        <f t="shared" si="62"/>
        <v>4.3749999999999997E-2</v>
      </c>
      <c r="BT6" s="48">
        <v>0.04</v>
      </c>
    </row>
    <row r="7" spans="1:72" x14ac:dyDescent="0.3">
      <c r="A7" s="47" t="s">
        <v>85</v>
      </c>
      <c r="B7" s="48">
        <v>1</v>
      </c>
      <c r="C7" s="49">
        <f t="shared" si="7"/>
        <v>1</v>
      </c>
      <c r="D7" s="49">
        <f t="shared" si="8"/>
        <v>0.96250000000000002</v>
      </c>
      <c r="E7" s="49">
        <f t="shared" si="9"/>
        <v>0.92500000000000004</v>
      </c>
      <c r="F7" s="49">
        <f t="shared" si="10"/>
        <v>0.88749999999999996</v>
      </c>
      <c r="G7" s="48">
        <f t="shared" si="0"/>
        <v>0.85</v>
      </c>
      <c r="H7" s="49">
        <f t="shared" si="11"/>
        <v>0.85</v>
      </c>
      <c r="I7" s="49">
        <f t="shared" si="12"/>
        <v>0.8125</v>
      </c>
      <c r="J7" s="49">
        <f t="shared" si="13"/>
        <v>0.77499999999999991</v>
      </c>
      <c r="K7" s="49">
        <f t="shared" si="14"/>
        <v>0.73749999999999993</v>
      </c>
      <c r="L7" s="48">
        <v>0.7</v>
      </c>
      <c r="M7" s="49">
        <f t="shared" si="15"/>
        <v>0.7</v>
      </c>
      <c r="N7" s="49">
        <f t="shared" si="16"/>
        <v>0.67999999999999994</v>
      </c>
      <c r="O7" s="49">
        <f t="shared" si="17"/>
        <v>0.65999999999999992</v>
      </c>
      <c r="P7" s="49">
        <f t="shared" si="18"/>
        <v>0.6399999999999999</v>
      </c>
      <c r="Q7" s="48">
        <f t="shared" si="1"/>
        <v>0.62</v>
      </c>
      <c r="R7" s="49">
        <f t="shared" si="19"/>
        <v>0.62</v>
      </c>
      <c r="S7" s="49">
        <f t="shared" si="20"/>
        <v>0.60000000000000009</v>
      </c>
      <c r="T7" s="49">
        <f t="shared" si="21"/>
        <v>0.58000000000000007</v>
      </c>
      <c r="U7" s="49">
        <f t="shared" si="22"/>
        <v>0.56000000000000005</v>
      </c>
      <c r="V7" s="48">
        <v>0.54</v>
      </c>
      <c r="W7" s="49">
        <f t="shared" si="23"/>
        <v>0.54</v>
      </c>
      <c r="X7" s="49">
        <f t="shared" si="24"/>
        <v>0.50875000000000004</v>
      </c>
      <c r="Y7" s="49">
        <f t="shared" si="25"/>
        <v>0.47750000000000004</v>
      </c>
      <c r="Z7" s="49">
        <f t="shared" si="26"/>
        <v>0.44625000000000004</v>
      </c>
      <c r="AA7" s="48">
        <f t="shared" si="2"/>
        <v>0.41500000000000004</v>
      </c>
      <c r="AB7" s="49">
        <f t="shared" si="27"/>
        <v>0.41500000000000004</v>
      </c>
      <c r="AC7" s="49">
        <f t="shared" si="28"/>
        <v>0.38375000000000004</v>
      </c>
      <c r="AD7" s="49">
        <f t="shared" si="29"/>
        <v>0.35250000000000004</v>
      </c>
      <c r="AE7" s="49">
        <f t="shared" si="30"/>
        <v>0.32125000000000004</v>
      </c>
      <c r="AF7" s="48">
        <v>0.28999999999999998</v>
      </c>
      <c r="AG7" s="49">
        <f t="shared" si="31"/>
        <v>0.28999999999999998</v>
      </c>
      <c r="AH7" s="49">
        <f t="shared" si="32"/>
        <v>0.27249999999999996</v>
      </c>
      <c r="AI7" s="49">
        <f t="shared" si="33"/>
        <v>0.255</v>
      </c>
      <c r="AJ7" s="49">
        <f t="shared" si="34"/>
        <v>0.23749999999999999</v>
      </c>
      <c r="AK7" s="48">
        <f t="shared" si="3"/>
        <v>0.21999999999999997</v>
      </c>
      <c r="AL7" s="49">
        <f t="shared" si="35"/>
        <v>0.21999999999999997</v>
      </c>
      <c r="AM7" s="49">
        <f t="shared" si="36"/>
        <v>0.20249999999999999</v>
      </c>
      <c r="AN7" s="49">
        <f t="shared" si="37"/>
        <v>0.185</v>
      </c>
      <c r="AO7" s="49">
        <f t="shared" si="38"/>
        <v>0.16749999999999998</v>
      </c>
      <c r="AP7" s="48">
        <v>0.15</v>
      </c>
      <c r="AQ7" s="49">
        <f t="shared" si="39"/>
        <v>0.15</v>
      </c>
      <c r="AR7" s="49">
        <f t="shared" si="40"/>
        <v>0.14124999999999999</v>
      </c>
      <c r="AS7" s="49">
        <f t="shared" si="41"/>
        <v>0.13250000000000001</v>
      </c>
      <c r="AT7" s="49">
        <f t="shared" si="42"/>
        <v>0.12375</v>
      </c>
      <c r="AU7" s="48">
        <f t="shared" si="4"/>
        <v>0.11499999999999999</v>
      </c>
      <c r="AV7" s="49">
        <f t="shared" si="43"/>
        <v>0.11499999999999999</v>
      </c>
      <c r="AW7" s="49">
        <f t="shared" si="44"/>
        <v>0.10625</v>
      </c>
      <c r="AX7" s="49">
        <f t="shared" si="45"/>
        <v>9.7500000000000003E-2</v>
      </c>
      <c r="AY7" s="49">
        <f t="shared" si="46"/>
        <v>8.8749999999999996E-2</v>
      </c>
      <c r="AZ7" s="48">
        <v>0.08</v>
      </c>
      <c r="BA7" s="49">
        <f t="shared" si="47"/>
        <v>0.08</v>
      </c>
      <c r="BB7" s="49">
        <f t="shared" si="48"/>
        <v>7.5000000000000011E-2</v>
      </c>
      <c r="BC7" s="49">
        <f t="shared" si="49"/>
        <v>7.0000000000000007E-2</v>
      </c>
      <c r="BD7" s="49">
        <f t="shared" si="50"/>
        <v>6.5000000000000002E-2</v>
      </c>
      <c r="BE7" s="48">
        <f t="shared" si="5"/>
        <v>0.06</v>
      </c>
      <c r="BF7" s="49">
        <f t="shared" si="51"/>
        <v>0.06</v>
      </c>
      <c r="BG7" s="49">
        <f t="shared" si="52"/>
        <v>5.5E-2</v>
      </c>
      <c r="BH7" s="49">
        <f t="shared" si="53"/>
        <v>0.05</v>
      </c>
      <c r="BI7" s="49">
        <f t="shared" si="54"/>
        <v>4.4999999999999998E-2</v>
      </c>
      <c r="BJ7" s="48">
        <v>0.04</v>
      </c>
      <c r="BK7" s="49">
        <f t="shared" si="55"/>
        <v>0.04</v>
      </c>
      <c r="BL7" s="49">
        <f t="shared" si="56"/>
        <v>3.8750000000000007E-2</v>
      </c>
      <c r="BM7" s="49">
        <f t="shared" si="57"/>
        <v>3.7500000000000006E-2</v>
      </c>
      <c r="BN7" s="49">
        <f t="shared" si="58"/>
        <v>3.6250000000000004E-2</v>
      </c>
      <c r="BO7" s="48">
        <f t="shared" si="6"/>
        <v>3.5000000000000003E-2</v>
      </c>
      <c r="BP7" s="49">
        <f t="shared" si="59"/>
        <v>3.5000000000000003E-2</v>
      </c>
      <c r="BQ7" s="49">
        <f t="shared" si="60"/>
        <v>3.3750000000000002E-2</v>
      </c>
      <c r="BR7" s="49">
        <f t="shared" si="61"/>
        <v>3.2500000000000001E-2</v>
      </c>
      <c r="BS7" s="49">
        <f t="shared" si="62"/>
        <v>3.125E-2</v>
      </c>
      <c r="BT7" s="48">
        <v>0.03</v>
      </c>
    </row>
    <row r="8" spans="1:72" x14ac:dyDescent="0.3">
      <c r="A8" s="47" t="s">
        <v>87</v>
      </c>
      <c r="B8" s="48">
        <v>1</v>
      </c>
      <c r="C8" s="49">
        <f t="shared" si="7"/>
        <v>1</v>
      </c>
      <c r="D8" s="49">
        <f t="shared" si="8"/>
        <v>0.96250000000000002</v>
      </c>
      <c r="E8" s="49">
        <f t="shared" si="9"/>
        <v>0.92500000000000004</v>
      </c>
      <c r="F8" s="49">
        <f t="shared" si="10"/>
        <v>0.88749999999999996</v>
      </c>
      <c r="G8" s="48">
        <f t="shared" si="0"/>
        <v>0.85</v>
      </c>
      <c r="H8" s="49">
        <f t="shared" si="11"/>
        <v>0.85</v>
      </c>
      <c r="I8" s="49">
        <f t="shared" si="12"/>
        <v>0.8125</v>
      </c>
      <c r="J8" s="49">
        <f t="shared" si="13"/>
        <v>0.77499999999999991</v>
      </c>
      <c r="K8" s="49">
        <f t="shared" si="14"/>
        <v>0.73749999999999993</v>
      </c>
      <c r="L8" s="48">
        <v>0.7</v>
      </c>
      <c r="M8" s="49">
        <f t="shared" si="15"/>
        <v>0.7</v>
      </c>
      <c r="N8" s="49">
        <f t="shared" si="16"/>
        <v>0.67499999999999993</v>
      </c>
      <c r="O8" s="49">
        <f t="shared" si="17"/>
        <v>0.64999999999999991</v>
      </c>
      <c r="P8" s="49">
        <f t="shared" si="18"/>
        <v>0.625</v>
      </c>
      <c r="Q8" s="48">
        <f t="shared" si="1"/>
        <v>0.6</v>
      </c>
      <c r="R8" s="49">
        <f t="shared" si="19"/>
        <v>0.6</v>
      </c>
      <c r="S8" s="49">
        <f t="shared" si="20"/>
        <v>0.57499999999999996</v>
      </c>
      <c r="T8" s="49">
        <f t="shared" si="21"/>
        <v>0.55000000000000004</v>
      </c>
      <c r="U8" s="49">
        <f t="shared" si="22"/>
        <v>0.52500000000000002</v>
      </c>
      <c r="V8" s="48">
        <v>0.5</v>
      </c>
      <c r="W8" s="49">
        <f t="shared" si="23"/>
        <v>0.5</v>
      </c>
      <c r="X8" s="49">
        <f t="shared" si="24"/>
        <v>0.46875</v>
      </c>
      <c r="Y8" s="49">
        <f t="shared" si="25"/>
        <v>0.4375</v>
      </c>
      <c r="Z8" s="49">
        <f t="shared" si="26"/>
        <v>0.40625</v>
      </c>
      <c r="AA8" s="48">
        <f t="shared" si="2"/>
        <v>0.375</v>
      </c>
      <c r="AB8" s="49">
        <f t="shared" si="27"/>
        <v>0.375</v>
      </c>
      <c r="AC8" s="49">
        <f t="shared" si="28"/>
        <v>0.34375</v>
      </c>
      <c r="AD8" s="49">
        <f t="shared" si="29"/>
        <v>0.3125</v>
      </c>
      <c r="AE8" s="49">
        <f t="shared" si="30"/>
        <v>0.28125</v>
      </c>
      <c r="AF8" s="48">
        <v>0.25</v>
      </c>
      <c r="AG8" s="49">
        <f t="shared" si="31"/>
        <v>0.25</v>
      </c>
      <c r="AH8" s="49">
        <f t="shared" si="32"/>
        <v>0.24374999999999999</v>
      </c>
      <c r="AI8" s="49">
        <f t="shared" si="33"/>
        <v>0.23749999999999999</v>
      </c>
      <c r="AJ8" s="49">
        <f t="shared" si="34"/>
        <v>0.23125000000000001</v>
      </c>
      <c r="AK8" s="48">
        <f t="shared" si="3"/>
        <v>0.22500000000000001</v>
      </c>
      <c r="AL8" s="49">
        <f t="shared" si="35"/>
        <v>0.22500000000000001</v>
      </c>
      <c r="AM8" s="49">
        <f t="shared" si="36"/>
        <v>0.21875</v>
      </c>
      <c r="AN8" s="49">
        <f t="shared" si="37"/>
        <v>0.21250000000000002</v>
      </c>
      <c r="AO8" s="49">
        <f t="shared" si="38"/>
        <v>0.20625000000000002</v>
      </c>
      <c r="AP8" s="48">
        <v>0.2</v>
      </c>
      <c r="AQ8" s="49">
        <f t="shared" si="39"/>
        <v>0.2</v>
      </c>
      <c r="AR8" s="49">
        <f t="shared" si="40"/>
        <v>0.19</v>
      </c>
      <c r="AS8" s="49">
        <f t="shared" si="41"/>
        <v>0.18</v>
      </c>
      <c r="AT8" s="49">
        <f t="shared" si="42"/>
        <v>0.16999999999999998</v>
      </c>
      <c r="AU8" s="48">
        <f t="shared" si="4"/>
        <v>0.16</v>
      </c>
      <c r="AV8" s="49">
        <f t="shared" si="43"/>
        <v>0.16</v>
      </c>
      <c r="AW8" s="49">
        <f t="shared" si="44"/>
        <v>0.15000000000000002</v>
      </c>
      <c r="AX8" s="49">
        <f t="shared" si="45"/>
        <v>0.14000000000000001</v>
      </c>
      <c r="AY8" s="49">
        <f t="shared" si="46"/>
        <v>0.13</v>
      </c>
      <c r="AZ8" s="48">
        <v>0.12</v>
      </c>
      <c r="BA8" s="49">
        <f t="shared" si="47"/>
        <v>0.12</v>
      </c>
      <c r="BB8" s="49">
        <f t="shared" si="48"/>
        <v>0.11</v>
      </c>
      <c r="BC8" s="49">
        <f t="shared" si="49"/>
        <v>0.1</v>
      </c>
      <c r="BD8" s="49">
        <f t="shared" si="50"/>
        <v>0.09</v>
      </c>
      <c r="BE8" s="48">
        <f t="shared" si="5"/>
        <v>0.08</v>
      </c>
      <c r="BF8" s="49">
        <f t="shared" si="51"/>
        <v>0.08</v>
      </c>
      <c r="BG8" s="49">
        <f t="shared" si="52"/>
        <v>7.0000000000000007E-2</v>
      </c>
      <c r="BH8" s="49">
        <f t="shared" si="53"/>
        <v>0.06</v>
      </c>
      <c r="BI8" s="49">
        <f t="shared" si="54"/>
        <v>0.05</v>
      </c>
      <c r="BJ8" s="48">
        <v>0.04</v>
      </c>
      <c r="BK8" s="49">
        <f t="shared" si="55"/>
        <v>0.04</v>
      </c>
      <c r="BL8" s="49">
        <f t="shared" si="56"/>
        <v>3.8750000000000007E-2</v>
      </c>
      <c r="BM8" s="49">
        <f t="shared" si="57"/>
        <v>3.7500000000000006E-2</v>
      </c>
      <c r="BN8" s="49">
        <f t="shared" si="58"/>
        <v>3.6250000000000004E-2</v>
      </c>
      <c r="BO8" s="48">
        <f t="shared" si="6"/>
        <v>3.5000000000000003E-2</v>
      </c>
      <c r="BP8" s="49">
        <f t="shared" si="59"/>
        <v>3.5000000000000003E-2</v>
      </c>
      <c r="BQ8" s="49">
        <f t="shared" si="60"/>
        <v>3.3750000000000002E-2</v>
      </c>
      <c r="BR8" s="49">
        <f t="shared" si="61"/>
        <v>3.2500000000000001E-2</v>
      </c>
      <c r="BS8" s="49">
        <f t="shared" si="62"/>
        <v>3.125E-2</v>
      </c>
      <c r="BT8" s="48">
        <v>0.03</v>
      </c>
    </row>
    <row r="9" spans="1:72" x14ac:dyDescent="0.3">
      <c r="A9" s="47" t="s">
        <v>89</v>
      </c>
      <c r="B9" s="48">
        <v>1</v>
      </c>
      <c r="C9" s="49">
        <f t="shared" si="7"/>
        <v>1</v>
      </c>
      <c r="D9" s="49">
        <f t="shared" si="8"/>
        <v>0.98750000000000004</v>
      </c>
      <c r="E9" s="49">
        <f t="shared" si="9"/>
        <v>0.97499999999999998</v>
      </c>
      <c r="F9" s="49">
        <f t="shared" si="10"/>
        <v>0.96249999999999991</v>
      </c>
      <c r="G9" s="48">
        <f t="shared" si="0"/>
        <v>0.95</v>
      </c>
      <c r="H9" s="49">
        <f t="shared" si="11"/>
        <v>0.95</v>
      </c>
      <c r="I9" s="49">
        <f t="shared" si="12"/>
        <v>0.9375</v>
      </c>
      <c r="J9" s="49">
        <f t="shared" si="13"/>
        <v>0.92500000000000004</v>
      </c>
      <c r="K9" s="49">
        <f t="shared" si="14"/>
        <v>0.91250000000000009</v>
      </c>
      <c r="L9" s="48">
        <v>0.9</v>
      </c>
      <c r="M9" s="49">
        <f t="shared" si="15"/>
        <v>0.9</v>
      </c>
      <c r="N9" s="49">
        <f t="shared" si="16"/>
        <v>0.87000000000000011</v>
      </c>
      <c r="O9" s="49">
        <f t="shared" si="17"/>
        <v>0.84000000000000008</v>
      </c>
      <c r="P9" s="49">
        <f t="shared" si="18"/>
        <v>0.81</v>
      </c>
      <c r="Q9" s="48">
        <f t="shared" si="1"/>
        <v>0.78</v>
      </c>
      <c r="R9" s="49">
        <f t="shared" si="19"/>
        <v>0.78</v>
      </c>
      <c r="S9" s="49">
        <f t="shared" si="20"/>
        <v>0.75</v>
      </c>
      <c r="T9" s="49">
        <f t="shared" si="21"/>
        <v>0.72</v>
      </c>
      <c r="U9" s="49">
        <f t="shared" si="22"/>
        <v>0.69</v>
      </c>
      <c r="V9" s="48">
        <v>0.66</v>
      </c>
      <c r="W9" s="49">
        <f t="shared" si="23"/>
        <v>0.66</v>
      </c>
      <c r="X9" s="49">
        <f t="shared" si="24"/>
        <v>0.63250000000000006</v>
      </c>
      <c r="Y9" s="49">
        <f t="shared" si="25"/>
        <v>0.60499999999999998</v>
      </c>
      <c r="Z9" s="49">
        <f t="shared" si="26"/>
        <v>0.57750000000000001</v>
      </c>
      <c r="AA9" s="48">
        <f t="shared" si="2"/>
        <v>0.55000000000000004</v>
      </c>
      <c r="AB9" s="49">
        <f t="shared" si="27"/>
        <v>0.55000000000000004</v>
      </c>
      <c r="AC9" s="49">
        <f t="shared" si="28"/>
        <v>0.52249999999999996</v>
      </c>
      <c r="AD9" s="49">
        <f t="shared" si="29"/>
        <v>0.495</v>
      </c>
      <c r="AE9" s="49">
        <f t="shared" si="30"/>
        <v>0.46750000000000003</v>
      </c>
      <c r="AF9" s="48">
        <v>0.44</v>
      </c>
      <c r="AG9" s="49">
        <f t="shared" si="31"/>
        <v>0.44</v>
      </c>
      <c r="AH9" s="49">
        <f t="shared" si="32"/>
        <v>0.42125000000000001</v>
      </c>
      <c r="AI9" s="49">
        <f t="shared" si="33"/>
        <v>0.40249999999999997</v>
      </c>
      <c r="AJ9" s="49">
        <f t="shared" si="34"/>
        <v>0.38374999999999998</v>
      </c>
      <c r="AK9" s="48">
        <f t="shared" si="3"/>
        <v>0.36499999999999999</v>
      </c>
      <c r="AL9" s="49">
        <f t="shared" si="35"/>
        <v>0.36499999999999999</v>
      </c>
      <c r="AM9" s="49">
        <f t="shared" si="36"/>
        <v>0.34625</v>
      </c>
      <c r="AN9" s="49">
        <f t="shared" si="37"/>
        <v>0.32750000000000001</v>
      </c>
      <c r="AO9" s="49">
        <f t="shared" si="38"/>
        <v>0.30874999999999997</v>
      </c>
      <c r="AP9" s="48">
        <v>0.28999999999999998</v>
      </c>
      <c r="AQ9" s="49">
        <f t="shared" si="39"/>
        <v>0.28999999999999998</v>
      </c>
      <c r="AR9" s="49">
        <f t="shared" si="40"/>
        <v>0.27749999999999997</v>
      </c>
      <c r="AS9" s="49">
        <f t="shared" si="41"/>
        <v>0.26500000000000001</v>
      </c>
      <c r="AT9" s="49">
        <f t="shared" si="42"/>
        <v>0.2525</v>
      </c>
      <c r="AU9" s="48">
        <f t="shared" si="4"/>
        <v>0.24</v>
      </c>
      <c r="AV9" s="49">
        <f t="shared" si="43"/>
        <v>0.24</v>
      </c>
      <c r="AW9" s="49">
        <f t="shared" si="44"/>
        <v>0.22749999999999998</v>
      </c>
      <c r="AX9" s="49">
        <f t="shared" si="45"/>
        <v>0.215</v>
      </c>
      <c r="AY9" s="49">
        <f t="shared" si="46"/>
        <v>0.20250000000000001</v>
      </c>
      <c r="AZ9" s="48">
        <v>0.19</v>
      </c>
      <c r="BA9" s="49">
        <f t="shared" si="47"/>
        <v>0.19</v>
      </c>
      <c r="BB9" s="49">
        <f t="shared" si="48"/>
        <v>0.17125000000000001</v>
      </c>
      <c r="BC9" s="49">
        <f t="shared" si="49"/>
        <v>0.1525</v>
      </c>
      <c r="BD9" s="49">
        <f t="shared" si="50"/>
        <v>0.13375000000000001</v>
      </c>
      <c r="BE9" s="48">
        <f t="shared" si="5"/>
        <v>0.115</v>
      </c>
      <c r="BF9" s="49">
        <f t="shared" si="51"/>
        <v>0.115</v>
      </c>
      <c r="BG9" s="49">
        <f t="shared" si="52"/>
        <v>9.6250000000000002E-2</v>
      </c>
      <c r="BH9" s="49">
        <f t="shared" si="53"/>
        <v>7.7499999999999999E-2</v>
      </c>
      <c r="BI9" s="49">
        <f t="shared" si="54"/>
        <v>5.8749999999999997E-2</v>
      </c>
      <c r="BJ9" s="48">
        <v>0.04</v>
      </c>
      <c r="BK9" s="49">
        <f t="shared" si="55"/>
        <v>0.04</v>
      </c>
      <c r="BL9" s="49">
        <f t="shared" si="56"/>
        <v>3.8750000000000007E-2</v>
      </c>
      <c r="BM9" s="49">
        <f t="shared" si="57"/>
        <v>3.7500000000000006E-2</v>
      </c>
      <c r="BN9" s="49">
        <f t="shared" si="58"/>
        <v>3.6250000000000004E-2</v>
      </c>
      <c r="BO9" s="48">
        <f t="shared" si="6"/>
        <v>3.5000000000000003E-2</v>
      </c>
      <c r="BP9" s="49">
        <f t="shared" si="59"/>
        <v>3.5000000000000003E-2</v>
      </c>
      <c r="BQ9" s="49">
        <f t="shared" si="60"/>
        <v>3.3750000000000002E-2</v>
      </c>
      <c r="BR9" s="49">
        <f t="shared" si="61"/>
        <v>3.2500000000000001E-2</v>
      </c>
      <c r="BS9" s="49">
        <f t="shared" si="62"/>
        <v>3.125E-2</v>
      </c>
      <c r="BT9" s="48">
        <v>0.03</v>
      </c>
    </row>
    <row r="10" spans="1:72" x14ac:dyDescent="0.3">
      <c r="A10" s="47" t="s">
        <v>91</v>
      </c>
      <c r="B10" s="48">
        <v>1</v>
      </c>
      <c r="C10" s="49">
        <f t="shared" si="7"/>
        <v>1</v>
      </c>
      <c r="D10" s="49">
        <f t="shared" si="8"/>
        <v>0.98375000000000001</v>
      </c>
      <c r="E10" s="49">
        <f t="shared" si="9"/>
        <v>0.96750000000000003</v>
      </c>
      <c r="F10" s="49">
        <f t="shared" si="10"/>
        <v>0.95125000000000004</v>
      </c>
      <c r="G10" s="48">
        <f t="shared" si="0"/>
        <v>0.93500000000000005</v>
      </c>
      <c r="H10" s="49">
        <f t="shared" si="11"/>
        <v>0.93500000000000005</v>
      </c>
      <c r="I10" s="49">
        <f t="shared" si="12"/>
        <v>0.91875000000000007</v>
      </c>
      <c r="J10" s="49">
        <f t="shared" si="13"/>
        <v>0.90250000000000008</v>
      </c>
      <c r="K10" s="49">
        <f t="shared" si="14"/>
        <v>0.88624999999999998</v>
      </c>
      <c r="L10" s="48">
        <v>0.87</v>
      </c>
      <c r="M10" s="49">
        <f t="shared" si="15"/>
        <v>0.87</v>
      </c>
      <c r="N10" s="49">
        <f t="shared" si="16"/>
        <v>0.83624999999999994</v>
      </c>
      <c r="O10" s="49">
        <f t="shared" si="17"/>
        <v>0.80249999999999999</v>
      </c>
      <c r="P10" s="49">
        <f t="shared" si="18"/>
        <v>0.76875000000000004</v>
      </c>
      <c r="Q10" s="48">
        <f t="shared" si="1"/>
        <v>0.73499999999999999</v>
      </c>
      <c r="R10" s="49">
        <f t="shared" si="19"/>
        <v>0.73499999999999999</v>
      </c>
      <c r="S10" s="49">
        <f t="shared" si="20"/>
        <v>0.70124999999999993</v>
      </c>
      <c r="T10" s="49">
        <f t="shared" si="21"/>
        <v>0.66749999999999998</v>
      </c>
      <c r="U10" s="49">
        <f t="shared" si="22"/>
        <v>0.63375000000000004</v>
      </c>
      <c r="V10" s="48">
        <v>0.6</v>
      </c>
      <c r="W10" s="49">
        <f t="shared" si="23"/>
        <v>0.6</v>
      </c>
      <c r="X10" s="49">
        <f t="shared" si="24"/>
        <v>0.57499999999999996</v>
      </c>
      <c r="Y10" s="49">
        <f t="shared" si="25"/>
        <v>0.55000000000000004</v>
      </c>
      <c r="Z10" s="49">
        <f t="shared" si="26"/>
        <v>0.52500000000000002</v>
      </c>
      <c r="AA10" s="48">
        <f t="shared" si="2"/>
        <v>0.5</v>
      </c>
      <c r="AB10" s="49">
        <f t="shared" si="27"/>
        <v>0.5</v>
      </c>
      <c r="AC10" s="49">
        <f t="shared" si="28"/>
        <v>0.47499999999999998</v>
      </c>
      <c r="AD10" s="49">
        <f t="shared" si="29"/>
        <v>0.45</v>
      </c>
      <c r="AE10" s="49">
        <f t="shared" si="30"/>
        <v>0.42500000000000004</v>
      </c>
      <c r="AF10" s="48">
        <v>0.4</v>
      </c>
      <c r="AG10" s="49">
        <f t="shared" si="31"/>
        <v>0.4</v>
      </c>
      <c r="AH10" s="49">
        <f t="shared" si="32"/>
        <v>0.38375000000000004</v>
      </c>
      <c r="AI10" s="49">
        <f t="shared" si="33"/>
        <v>0.36750000000000005</v>
      </c>
      <c r="AJ10" s="49">
        <f t="shared" si="34"/>
        <v>0.35125000000000006</v>
      </c>
      <c r="AK10" s="48">
        <f t="shared" si="3"/>
        <v>0.33500000000000002</v>
      </c>
      <c r="AL10" s="49">
        <f t="shared" si="35"/>
        <v>0.33500000000000002</v>
      </c>
      <c r="AM10" s="49">
        <f t="shared" si="36"/>
        <v>0.31874999999999998</v>
      </c>
      <c r="AN10" s="49">
        <f t="shared" si="37"/>
        <v>0.30249999999999999</v>
      </c>
      <c r="AO10" s="49">
        <f t="shared" si="38"/>
        <v>0.28625</v>
      </c>
      <c r="AP10" s="48">
        <v>0.27</v>
      </c>
      <c r="AQ10" s="49">
        <f t="shared" si="39"/>
        <v>0.27</v>
      </c>
      <c r="AR10" s="49">
        <f t="shared" si="40"/>
        <v>0.25750000000000001</v>
      </c>
      <c r="AS10" s="49">
        <f t="shared" si="41"/>
        <v>0.24500000000000002</v>
      </c>
      <c r="AT10" s="49">
        <f t="shared" si="42"/>
        <v>0.23250000000000004</v>
      </c>
      <c r="AU10" s="48">
        <f t="shared" si="4"/>
        <v>0.22000000000000003</v>
      </c>
      <c r="AV10" s="49">
        <f t="shared" si="43"/>
        <v>0.22000000000000003</v>
      </c>
      <c r="AW10" s="49">
        <f t="shared" si="44"/>
        <v>0.20750000000000002</v>
      </c>
      <c r="AX10" s="49">
        <f t="shared" si="45"/>
        <v>0.19500000000000001</v>
      </c>
      <c r="AY10" s="49">
        <f t="shared" si="46"/>
        <v>0.1825</v>
      </c>
      <c r="AZ10" s="48">
        <v>0.17</v>
      </c>
      <c r="BA10" s="49">
        <f t="shared" si="47"/>
        <v>0.17</v>
      </c>
      <c r="BB10" s="49">
        <f t="shared" si="48"/>
        <v>0.15375</v>
      </c>
      <c r="BC10" s="49">
        <f t="shared" si="49"/>
        <v>0.13750000000000001</v>
      </c>
      <c r="BD10" s="49">
        <f t="shared" si="50"/>
        <v>0.12125000000000001</v>
      </c>
      <c r="BE10" s="48">
        <f t="shared" si="5"/>
        <v>0.10500000000000001</v>
      </c>
      <c r="BF10" s="49">
        <f t="shared" si="51"/>
        <v>0.10500000000000001</v>
      </c>
      <c r="BG10" s="49">
        <f t="shared" si="52"/>
        <v>8.8750000000000009E-2</v>
      </c>
      <c r="BH10" s="49">
        <f t="shared" si="53"/>
        <v>7.2500000000000009E-2</v>
      </c>
      <c r="BI10" s="49">
        <f t="shared" si="54"/>
        <v>5.6250000000000008E-2</v>
      </c>
      <c r="BJ10" s="48">
        <v>0.04</v>
      </c>
      <c r="BK10" s="49">
        <f t="shared" si="55"/>
        <v>0.04</v>
      </c>
      <c r="BL10" s="49">
        <f t="shared" si="56"/>
        <v>3.8750000000000007E-2</v>
      </c>
      <c r="BM10" s="49">
        <f t="shared" si="57"/>
        <v>3.7500000000000006E-2</v>
      </c>
      <c r="BN10" s="49">
        <f t="shared" si="58"/>
        <v>3.6250000000000004E-2</v>
      </c>
      <c r="BO10" s="48">
        <f t="shared" si="6"/>
        <v>3.5000000000000003E-2</v>
      </c>
      <c r="BP10" s="49">
        <f t="shared" si="59"/>
        <v>3.5000000000000003E-2</v>
      </c>
      <c r="BQ10" s="49">
        <f t="shared" si="60"/>
        <v>3.3750000000000002E-2</v>
      </c>
      <c r="BR10" s="49">
        <f t="shared" si="61"/>
        <v>3.2500000000000001E-2</v>
      </c>
      <c r="BS10" s="49">
        <f t="shared" si="62"/>
        <v>3.125E-2</v>
      </c>
      <c r="BT10" s="48">
        <v>0.03</v>
      </c>
    </row>
    <row r="11" spans="1:72" x14ac:dyDescent="0.3">
      <c r="A11" s="47" t="s">
        <v>93</v>
      </c>
      <c r="B11" s="48">
        <v>1</v>
      </c>
      <c r="C11" s="49">
        <f t="shared" si="7"/>
        <v>1</v>
      </c>
      <c r="D11" s="49">
        <f t="shared" si="8"/>
        <v>0.98750000000000004</v>
      </c>
      <c r="E11" s="49">
        <f t="shared" si="9"/>
        <v>0.97499999999999998</v>
      </c>
      <c r="F11" s="49">
        <f t="shared" si="10"/>
        <v>0.96249999999999991</v>
      </c>
      <c r="G11" s="48">
        <f t="shared" si="0"/>
        <v>0.95</v>
      </c>
      <c r="H11" s="49">
        <f t="shared" si="11"/>
        <v>0.95</v>
      </c>
      <c r="I11" s="49">
        <f t="shared" si="12"/>
        <v>0.9375</v>
      </c>
      <c r="J11" s="49">
        <f t="shared" si="13"/>
        <v>0.92500000000000004</v>
      </c>
      <c r="K11" s="49">
        <f t="shared" si="14"/>
        <v>0.91250000000000009</v>
      </c>
      <c r="L11" s="48">
        <v>0.9</v>
      </c>
      <c r="M11" s="49">
        <f t="shared" si="15"/>
        <v>0.9</v>
      </c>
      <c r="N11" s="49">
        <f t="shared" si="16"/>
        <v>0.87000000000000011</v>
      </c>
      <c r="O11" s="49">
        <f t="shared" si="17"/>
        <v>0.84000000000000008</v>
      </c>
      <c r="P11" s="49">
        <f t="shared" si="18"/>
        <v>0.81</v>
      </c>
      <c r="Q11" s="48">
        <f t="shared" si="1"/>
        <v>0.78</v>
      </c>
      <c r="R11" s="49">
        <f t="shared" si="19"/>
        <v>0.78</v>
      </c>
      <c r="S11" s="49">
        <f t="shared" si="20"/>
        <v>0.75</v>
      </c>
      <c r="T11" s="49">
        <f t="shared" si="21"/>
        <v>0.72</v>
      </c>
      <c r="U11" s="49">
        <f t="shared" si="22"/>
        <v>0.69</v>
      </c>
      <c r="V11" s="48">
        <v>0.66</v>
      </c>
      <c r="W11" s="49">
        <f t="shared" si="23"/>
        <v>0.66</v>
      </c>
      <c r="X11" s="49">
        <f t="shared" si="24"/>
        <v>0.63250000000000006</v>
      </c>
      <c r="Y11" s="49">
        <f t="shared" si="25"/>
        <v>0.60499999999999998</v>
      </c>
      <c r="Z11" s="49">
        <f t="shared" si="26"/>
        <v>0.57750000000000001</v>
      </c>
      <c r="AA11" s="48">
        <f t="shared" si="2"/>
        <v>0.55000000000000004</v>
      </c>
      <c r="AB11" s="49">
        <f t="shared" si="27"/>
        <v>0.55000000000000004</v>
      </c>
      <c r="AC11" s="49">
        <f t="shared" si="28"/>
        <v>0.52249999999999996</v>
      </c>
      <c r="AD11" s="49">
        <f t="shared" si="29"/>
        <v>0.495</v>
      </c>
      <c r="AE11" s="49">
        <f t="shared" si="30"/>
        <v>0.46750000000000003</v>
      </c>
      <c r="AF11" s="48">
        <v>0.44</v>
      </c>
      <c r="AG11" s="49">
        <f t="shared" si="31"/>
        <v>0.44</v>
      </c>
      <c r="AH11" s="49">
        <f t="shared" si="32"/>
        <v>0.42125000000000001</v>
      </c>
      <c r="AI11" s="49">
        <f t="shared" si="33"/>
        <v>0.40249999999999997</v>
      </c>
      <c r="AJ11" s="49">
        <f t="shared" si="34"/>
        <v>0.38374999999999998</v>
      </c>
      <c r="AK11" s="48">
        <f t="shared" si="3"/>
        <v>0.36499999999999999</v>
      </c>
      <c r="AL11" s="49">
        <f t="shared" si="35"/>
        <v>0.36499999999999999</v>
      </c>
      <c r="AM11" s="49">
        <f t="shared" si="36"/>
        <v>0.34625</v>
      </c>
      <c r="AN11" s="49">
        <f t="shared" si="37"/>
        <v>0.32750000000000001</v>
      </c>
      <c r="AO11" s="49">
        <f t="shared" si="38"/>
        <v>0.30874999999999997</v>
      </c>
      <c r="AP11" s="48">
        <v>0.28999999999999998</v>
      </c>
      <c r="AQ11" s="49">
        <f t="shared" si="39"/>
        <v>0.28999999999999998</v>
      </c>
      <c r="AR11" s="49">
        <f t="shared" si="40"/>
        <v>0.27749999999999997</v>
      </c>
      <c r="AS11" s="49">
        <f t="shared" si="41"/>
        <v>0.26500000000000001</v>
      </c>
      <c r="AT11" s="49">
        <f t="shared" si="42"/>
        <v>0.2525</v>
      </c>
      <c r="AU11" s="48">
        <f t="shared" si="4"/>
        <v>0.24</v>
      </c>
      <c r="AV11" s="49">
        <f t="shared" si="43"/>
        <v>0.24</v>
      </c>
      <c r="AW11" s="49">
        <f t="shared" si="44"/>
        <v>0.22749999999999998</v>
      </c>
      <c r="AX11" s="49">
        <f t="shared" si="45"/>
        <v>0.215</v>
      </c>
      <c r="AY11" s="49">
        <f t="shared" si="46"/>
        <v>0.20250000000000001</v>
      </c>
      <c r="AZ11" s="48">
        <v>0.19</v>
      </c>
      <c r="BA11" s="49">
        <f t="shared" si="47"/>
        <v>0.19</v>
      </c>
      <c r="BB11" s="49">
        <f t="shared" si="48"/>
        <v>0.17125000000000001</v>
      </c>
      <c r="BC11" s="49">
        <f t="shared" si="49"/>
        <v>0.1525</v>
      </c>
      <c r="BD11" s="49">
        <f t="shared" si="50"/>
        <v>0.13375000000000001</v>
      </c>
      <c r="BE11" s="48">
        <f t="shared" si="5"/>
        <v>0.115</v>
      </c>
      <c r="BF11" s="49">
        <f t="shared" si="51"/>
        <v>0.115</v>
      </c>
      <c r="BG11" s="49">
        <f t="shared" si="52"/>
        <v>9.6250000000000002E-2</v>
      </c>
      <c r="BH11" s="49">
        <f t="shared" si="53"/>
        <v>7.7499999999999999E-2</v>
      </c>
      <c r="BI11" s="49">
        <f t="shared" si="54"/>
        <v>5.8749999999999997E-2</v>
      </c>
      <c r="BJ11" s="48">
        <v>0.04</v>
      </c>
      <c r="BK11" s="49">
        <f t="shared" si="55"/>
        <v>0.04</v>
      </c>
      <c r="BL11" s="49">
        <f t="shared" si="56"/>
        <v>3.8750000000000007E-2</v>
      </c>
      <c r="BM11" s="49">
        <f t="shared" si="57"/>
        <v>3.7500000000000006E-2</v>
      </c>
      <c r="BN11" s="49">
        <f t="shared" si="58"/>
        <v>3.6250000000000004E-2</v>
      </c>
      <c r="BO11" s="48">
        <f t="shared" si="6"/>
        <v>3.5000000000000003E-2</v>
      </c>
      <c r="BP11" s="49">
        <f t="shared" si="59"/>
        <v>3.5000000000000003E-2</v>
      </c>
      <c r="BQ11" s="49">
        <f t="shared" si="60"/>
        <v>3.3750000000000002E-2</v>
      </c>
      <c r="BR11" s="49">
        <f t="shared" si="61"/>
        <v>3.2500000000000001E-2</v>
      </c>
      <c r="BS11" s="49">
        <f t="shared" si="62"/>
        <v>3.125E-2</v>
      </c>
      <c r="BT11" s="48">
        <v>0.03</v>
      </c>
    </row>
    <row r="12" spans="1:72" x14ac:dyDescent="0.3">
      <c r="E12" s="44"/>
      <c r="F12" s="45"/>
      <c r="M12" s="45"/>
      <c r="N12" s="45"/>
      <c r="X12" s="45"/>
      <c r="Y12" s="45"/>
      <c r="AH12" s="45"/>
      <c r="AI12" s="45"/>
    </row>
    <row r="13" spans="1:72" x14ac:dyDescent="0.3">
      <c r="E13" s="44"/>
      <c r="F13" s="45"/>
      <c r="M13" s="45"/>
      <c r="N13" s="45"/>
      <c r="V13"/>
      <c r="W13"/>
      <c r="X13"/>
      <c r="Y13"/>
      <c r="Z13"/>
      <c r="AA13"/>
      <c r="AB13"/>
      <c r="AC13"/>
      <c r="AD13"/>
      <c r="AE13"/>
      <c r="AF13" s="53"/>
      <c r="AG13"/>
      <c r="AH13"/>
      <c r="AI13"/>
      <c r="AJ13"/>
      <c r="AK13"/>
      <c r="AL13"/>
      <c r="AM13"/>
      <c r="AN13"/>
      <c r="AO13"/>
      <c r="AP13" s="53"/>
      <c r="AQ13"/>
      <c r="AR13"/>
      <c r="AS13"/>
      <c r="AT13"/>
      <c r="AU13"/>
      <c r="AV13"/>
      <c r="AW13"/>
      <c r="AX13"/>
      <c r="AY13"/>
      <c r="AZ13" s="53"/>
      <c r="BA13"/>
      <c r="BB13"/>
      <c r="BC13"/>
      <c r="BD13"/>
      <c r="BE13"/>
      <c r="BF13"/>
      <c r="BG13"/>
      <c r="BH13"/>
      <c r="BI13"/>
      <c r="BJ13" s="53"/>
      <c r="BK13"/>
      <c r="BL13"/>
      <c r="BM13"/>
      <c r="BN13"/>
      <c r="BO13"/>
      <c r="BP13"/>
      <c r="BQ13"/>
      <c r="BR13"/>
      <c r="BS13"/>
      <c r="BT13" s="53"/>
    </row>
    <row r="14" spans="1:72" x14ac:dyDescent="0.3">
      <c r="E14" s="44"/>
      <c r="M14" s="45"/>
      <c r="N14" s="45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5"/>
      <c r="AG14" s="54"/>
      <c r="AH14" s="54"/>
      <c r="AI14" s="54"/>
      <c r="AJ14" s="54"/>
      <c r="AK14" s="54"/>
      <c r="AL14" s="54"/>
      <c r="AM14" s="54"/>
      <c r="AN14" s="54"/>
      <c r="AO14" s="54"/>
      <c r="AP14" s="55"/>
      <c r="AQ14" s="54"/>
      <c r="AR14" s="54"/>
      <c r="AS14" s="54"/>
      <c r="AT14" s="54"/>
      <c r="AU14" s="54"/>
      <c r="AV14" s="54"/>
      <c r="AW14" s="54"/>
      <c r="AX14" s="54"/>
      <c r="AY14" s="54"/>
      <c r="AZ14" s="55"/>
      <c r="BA14" s="54"/>
      <c r="BB14" s="54"/>
      <c r="BC14" s="54"/>
      <c r="BD14" s="54"/>
      <c r="BE14" s="54"/>
      <c r="BF14" s="54"/>
      <c r="BG14" s="54"/>
      <c r="BH14" s="54"/>
      <c r="BI14" s="54"/>
      <c r="BJ14" s="55"/>
      <c r="BK14" s="54"/>
      <c r="BL14" s="54"/>
      <c r="BM14" s="54"/>
      <c r="BN14" s="54"/>
      <c r="BO14" s="54"/>
      <c r="BP14" s="54"/>
      <c r="BQ14" s="54"/>
      <c r="BR14" s="54"/>
      <c r="BS14" s="54"/>
      <c r="BT14" s="55"/>
    </row>
    <row r="15" spans="1:72" x14ac:dyDescent="0.3">
      <c r="E15" s="44"/>
      <c r="M15" s="45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5"/>
      <c r="AG15" s="54"/>
      <c r="AH15" s="54"/>
      <c r="AI15" s="54"/>
      <c r="AJ15" s="54"/>
      <c r="AK15" s="54"/>
      <c r="AL15" s="54"/>
      <c r="AM15" s="54"/>
      <c r="AN15" s="54"/>
      <c r="AO15" s="54"/>
      <c r="AP15" s="55"/>
      <c r="AQ15" s="54"/>
      <c r="AR15" s="54"/>
      <c r="AS15" s="54"/>
      <c r="AT15" s="54"/>
      <c r="AU15" s="54"/>
      <c r="AV15" s="54"/>
      <c r="AW15" s="54"/>
      <c r="AX15" s="54"/>
      <c r="AY15" s="54"/>
      <c r="AZ15" s="55"/>
      <c r="BA15" s="54"/>
      <c r="BB15" s="54"/>
      <c r="BC15" s="54"/>
      <c r="BD15" s="54"/>
      <c r="BE15" s="54"/>
      <c r="BF15" s="54"/>
      <c r="BG15" s="54"/>
      <c r="BH15" s="54"/>
      <c r="BI15" s="54"/>
      <c r="BJ15" s="55"/>
      <c r="BK15" s="54"/>
      <c r="BL15" s="54"/>
      <c r="BM15" s="54"/>
      <c r="BN15" s="54"/>
      <c r="BO15" s="54"/>
      <c r="BP15" s="54"/>
      <c r="BQ15" s="54"/>
      <c r="BR15" s="54"/>
      <c r="BS15" s="54"/>
      <c r="BT15" s="55"/>
    </row>
    <row r="16" spans="1:72" x14ac:dyDescent="0.3">
      <c r="M16" s="45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5"/>
      <c r="AG16" s="54"/>
      <c r="AH16" s="54"/>
      <c r="AI16" s="54"/>
      <c r="AJ16" s="54"/>
      <c r="AK16" s="54"/>
      <c r="AL16" s="54"/>
      <c r="AM16" s="54"/>
      <c r="AN16" s="54"/>
      <c r="AO16" s="54"/>
      <c r="AP16" s="55"/>
      <c r="AQ16" s="54"/>
      <c r="AR16" s="54"/>
      <c r="AS16" s="54"/>
      <c r="AT16" s="54"/>
      <c r="AU16" s="54"/>
      <c r="AV16" s="54"/>
      <c r="AW16" s="54"/>
      <c r="AX16" s="54"/>
      <c r="AY16" s="54"/>
      <c r="AZ16" s="55"/>
      <c r="BA16" s="54"/>
      <c r="BB16" s="54"/>
      <c r="BC16" s="54"/>
      <c r="BD16" s="54"/>
      <c r="BE16" s="54"/>
      <c r="BF16" s="54"/>
      <c r="BG16" s="54"/>
      <c r="BH16" s="54"/>
      <c r="BI16" s="54"/>
      <c r="BJ16" s="55"/>
      <c r="BK16" s="54"/>
      <c r="BL16" s="54"/>
      <c r="BM16" s="54"/>
      <c r="BN16" s="54"/>
      <c r="BO16" s="54"/>
      <c r="BP16" s="54"/>
      <c r="BQ16" s="54"/>
      <c r="BR16" s="54"/>
      <c r="BS16" s="54"/>
      <c r="BT16" s="55"/>
    </row>
    <row r="17" spans="13:72" x14ac:dyDescent="0.3">
      <c r="M17" s="45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5"/>
      <c r="AG17" s="54"/>
      <c r="AH17" s="54"/>
      <c r="AI17" s="54"/>
      <c r="AJ17" s="54"/>
      <c r="AK17" s="54"/>
      <c r="AL17" s="54"/>
      <c r="AM17" s="54"/>
      <c r="AN17" s="54"/>
      <c r="AO17" s="54"/>
      <c r="AP17" s="55"/>
      <c r="AQ17" s="54"/>
      <c r="AR17" s="54"/>
      <c r="AS17" s="54"/>
      <c r="AT17" s="54"/>
      <c r="AU17" s="54"/>
      <c r="AV17" s="54"/>
      <c r="AW17" s="54"/>
      <c r="AX17" s="54"/>
      <c r="AY17" s="54"/>
      <c r="AZ17" s="55"/>
      <c r="BA17" s="54"/>
      <c r="BB17" s="54"/>
      <c r="BC17" s="54"/>
      <c r="BD17" s="54"/>
      <c r="BE17" s="54"/>
      <c r="BF17" s="54"/>
      <c r="BG17" s="54"/>
      <c r="BH17" s="54"/>
      <c r="BI17" s="54"/>
      <c r="BJ17" s="55"/>
      <c r="BK17" s="54"/>
      <c r="BL17" s="54"/>
      <c r="BM17" s="54"/>
      <c r="BN17" s="54"/>
      <c r="BO17" s="54"/>
      <c r="BP17" s="54"/>
      <c r="BQ17" s="54"/>
      <c r="BR17" s="54"/>
      <c r="BS17" s="54"/>
      <c r="BT17" s="55"/>
    </row>
    <row r="18" spans="13:72" x14ac:dyDescent="0.3"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5"/>
      <c r="AG18" s="54"/>
      <c r="AH18" s="54"/>
      <c r="AI18" s="54"/>
      <c r="AJ18" s="54"/>
      <c r="AK18" s="54"/>
      <c r="AL18" s="54"/>
      <c r="AM18" s="54"/>
      <c r="AN18" s="54"/>
      <c r="AO18" s="54"/>
      <c r="AP18" s="55"/>
      <c r="AQ18" s="54"/>
      <c r="AR18" s="54"/>
      <c r="AS18" s="54"/>
      <c r="AT18" s="54"/>
      <c r="AU18" s="54"/>
      <c r="AV18" s="54"/>
      <c r="AW18" s="54"/>
      <c r="AX18" s="54"/>
      <c r="AY18" s="54"/>
      <c r="AZ18" s="55"/>
      <c r="BA18" s="54"/>
      <c r="BB18" s="54"/>
      <c r="BC18" s="54"/>
      <c r="BD18" s="54"/>
      <c r="BE18" s="54"/>
      <c r="BF18" s="54"/>
      <c r="BG18" s="54"/>
      <c r="BH18" s="54"/>
      <c r="BI18" s="54"/>
      <c r="BJ18" s="55"/>
      <c r="BK18" s="54"/>
      <c r="BL18" s="54"/>
      <c r="BM18" s="54"/>
      <c r="BN18" s="54"/>
      <c r="BO18" s="54"/>
      <c r="BP18" s="54"/>
      <c r="BQ18" s="54"/>
      <c r="BR18" s="54"/>
      <c r="BS18" s="54"/>
      <c r="BT18" s="55"/>
    </row>
  </sheetData>
  <sheetProtection sheet="1" objects="1" scenarios="1"/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10</vt:i4>
      </vt:variant>
    </vt:vector>
  </HeadingPairs>
  <TitlesOfParts>
    <vt:vector size="15" baseType="lpstr">
      <vt:lpstr>Evaluacion Comercial GP</vt:lpstr>
      <vt:lpstr>Analisis Mercado</vt:lpstr>
      <vt:lpstr>Fotos propiedad</vt:lpstr>
      <vt:lpstr>CHORNIK</vt:lpstr>
      <vt:lpstr>Hoja1</vt:lpstr>
      <vt:lpstr>'Analisis Mercado'!Área_de_impresión</vt:lpstr>
      <vt:lpstr>'Evaluacion Comercial GP'!Área_de_impresión</vt:lpstr>
      <vt:lpstr>LETRAS_1</vt:lpstr>
      <vt:lpstr>LETRAS_2</vt:lpstr>
      <vt:lpstr>MAT_AÑO</vt:lpstr>
      <vt:lpstr>mat_año_2</vt:lpstr>
      <vt:lpstr>MAT_CALI</vt:lpstr>
      <vt:lpstr>NUM_1</vt:lpstr>
      <vt:lpstr>CHORNIK!valoruf.cl</vt:lpstr>
      <vt:lpstr>CHORNIK!valoruf.cl_1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Mario</dc:creator>
  <cp:keywords/>
  <dc:description/>
  <cp:lastModifiedBy>Felipe  Labra</cp:lastModifiedBy>
  <cp:revision/>
  <dcterms:created xsi:type="dcterms:W3CDTF">2018-11-16T20:11:08Z</dcterms:created>
  <dcterms:modified xsi:type="dcterms:W3CDTF">2026-01-19T17:11:07Z</dcterms:modified>
  <cp:category/>
  <cp:contentStatus/>
</cp:coreProperties>
</file>